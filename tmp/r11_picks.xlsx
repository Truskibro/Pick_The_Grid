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ilmarkhomefolder/Desktop/"/>
    </mc:Choice>
  </mc:AlternateContent>
  <xr:revisionPtr revIDLastSave="0" documentId="13_ncr:1_{D20984CF-C18D-5F4A-9012-431F57EC2987}" xr6:coauthVersionLast="47" xr6:coauthVersionMax="47" xr10:uidLastSave="{00000000-0000-0000-0000-000000000000}"/>
  <bookViews>
    <workbookView xWindow="1200" yWindow="500" windowWidth="27600" windowHeight="15880" xr2:uid="{08D69D06-BCD8-DA46-A9CC-A0AF2ABB19FD}"/>
  </bookViews>
  <sheets>
    <sheet name="2026" sheetId="5" r:id="rId1"/>
    <sheet name="Sheet1" sheetId="6" r:id="rId2"/>
  </sheets>
  <definedNames>
    <definedName name="_xlnm.Print_Area" localSheetId="0">'2026'!$B$4:$M$27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4" i="5" l="1"/>
  <c r="K344" i="5"/>
  <c r="G264" i="5"/>
  <c r="M324" i="5"/>
  <c r="K324" i="5"/>
  <c r="I324" i="5"/>
  <c r="G304" i="5"/>
  <c r="K264" i="5"/>
  <c r="I264" i="5"/>
  <c r="I244" i="5"/>
  <c r="M244" i="5"/>
  <c r="K244" i="5"/>
  <c r="I224" i="5"/>
  <c r="M204" i="5"/>
  <c r="G164" i="5"/>
  <c r="I164" i="5"/>
  <c r="K164" i="5"/>
  <c r="M164" i="5"/>
  <c r="M24" i="5"/>
  <c r="G24" i="5"/>
  <c r="K24" i="5"/>
  <c r="M464" i="5"/>
  <c r="K464" i="5"/>
  <c r="I464" i="5"/>
  <c r="G464" i="5"/>
  <c r="M463" i="5"/>
  <c r="K463" i="5"/>
  <c r="I463" i="5"/>
  <c r="G463" i="5"/>
  <c r="M462" i="5"/>
  <c r="K462" i="5"/>
  <c r="I462" i="5"/>
  <c r="G462" i="5"/>
  <c r="M461" i="5"/>
  <c r="K461" i="5"/>
  <c r="I461" i="5"/>
  <c r="G461" i="5"/>
  <c r="M460" i="5"/>
  <c r="K460" i="5"/>
  <c r="I460" i="5"/>
  <c r="G460" i="5"/>
  <c r="M459" i="5"/>
  <c r="K459" i="5"/>
  <c r="I459" i="5"/>
  <c r="G459" i="5"/>
  <c r="M458" i="5"/>
  <c r="K458" i="5"/>
  <c r="I458" i="5"/>
  <c r="G458" i="5"/>
  <c r="M457" i="5"/>
  <c r="K457" i="5"/>
  <c r="I457" i="5"/>
  <c r="I466" i="5" s="1"/>
  <c r="G457" i="5"/>
  <c r="G466" i="5" s="1"/>
  <c r="M456" i="5"/>
  <c r="M466" i="5" s="1"/>
  <c r="K456" i="5"/>
  <c r="K466" i="5" s="1"/>
  <c r="I456" i="5"/>
  <c r="G456" i="5"/>
  <c r="M455" i="5"/>
  <c r="K455" i="5"/>
  <c r="I455" i="5"/>
  <c r="G455" i="5"/>
  <c r="M454" i="5"/>
  <c r="K454" i="5"/>
  <c r="I454" i="5"/>
  <c r="G454" i="5"/>
  <c r="M453" i="5"/>
  <c r="K453" i="5"/>
  <c r="I453" i="5"/>
  <c r="G453" i="5"/>
  <c r="M424" i="5"/>
  <c r="K424" i="5"/>
  <c r="I424" i="5"/>
  <c r="G424" i="5"/>
  <c r="M423" i="5"/>
  <c r="K423" i="5"/>
  <c r="I423" i="5"/>
  <c r="G423" i="5"/>
  <c r="M422" i="5"/>
  <c r="K422" i="5"/>
  <c r="I422" i="5"/>
  <c r="G422" i="5"/>
  <c r="M421" i="5"/>
  <c r="K421" i="5"/>
  <c r="I421" i="5"/>
  <c r="G421" i="5"/>
  <c r="M420" i="5"/>
  <c r="K420" i="5"/>
  <c r="I420" i="5"/>
  <c r="G420" i="5"/>
  <c r="M419" i="5"/>
  <c r="K419" i="5"/>
  <c r="I419" i="5"/>
  <c r="G419" i="5"/>
  <c r="M418" i="5"/>
  <c r="K418" i="5"/>
  <c r="I418" i="5"/>
  <c r="G418" i="5"/>
  <c r="M417" i="5"/>
  <c r="K417" i="5"/>
  <c r="I417" i="5"/>
  <c r="G417" i="5"/>
  <c r="M416" i="5"/>
  <c r="K416" i="5"/>
  <c r="I416" i="5"/>
  <c r="G416" i="5"/>
  <c r="M415" i="5"/>
  <c r="K415" i="5"/>
  <c r="I415" i="5"/>
  <c r="G415" i="5"/>
  <c r="M414" i="5"/>
  <c r="K414" i="5"/>
  <c r="I414" i="5"/>
  <c r="G414" i="5"/>
  <c r="M413" i="5"/>
  <c r="K413" i="5"/>
  <c r="I413" i="5"/>
  <c r="G413" i="5"/>
  <c r="G426" i="5" s="1"/>
  <c r="M364" i="5"/>
  <c r="K364" i="5"/>
  <c r="I364" i="5"/>
  <c r="G364" i="5"/>
  <c r="M363" i="5"/>
  <c r="K363" i="5"/>
  <c r="I363" i="5"/>
  <c r="G363" i="5"/>
  <c r="M362" i="5"/>
  <c r="K362" i="5"/>
  <c r="I362" i="5"/>
  <c r="G362" i="5"/>
  <c r="M361" i="5"/>
  <c r="K361" i="5"/>
  <c r="I361" i="5"/>
  <c r="G361" i="5"/>
  <c r="M360" i="5"/>
  <c r="K360" i="5"/>
  <c r="I360" i="5"/>
  <c r="G360" i="5"/>
  <c r="M359" i="5"/>
  <c r="K359" i="5"/>
  <c r="I359" i="5"/>
  <c r="G359" i="5"/>
  <c r="M358" i="5"/>
  <c r="K358" i="5"/>
  <c r="I358" i="5"/>
  <c r="G358" i="5"/>
  <c r="M357" i="5"/>
  <c r="K357" i="5"/>
  <c r="I357" i="5"/>
  <c r="G357" i="5"/>
  <c r="M356" i="5"/>
  <c r="K356" i="5"/>
  <c r="I356" i="5"/>
  <c r="G356" i="5"/>
  <c r="M355" i="5"/>
  <c r="K355" i="5"/>
  <c r="I355" i="5"/>
  <c r="G355" i="5"/>
  <c r="M354" i="5"/>
  <c r="K354" i="5"/>
  <c r="I354" i="5"/>
  <c r="G354" i="5"/>
  <c r="M353" i="5"/>
  <c r="K353" i="5"/>
  <c r="K366" i="5" s="1"/>
  <c r="I353" i="5"/>
  <c r="G353" i="5"/>
  <c r="G366" i="5" s="1"/>
  <c r="M183" i="5"/>
  <c r="K183" i="5"/>
  <c r="I183" i="5"/>
  <c r="G183" i="5"/>
  <c r="M180" i="5"/>
  <c r="K180" i="5"/>
  <c r="I180" i="5"/>
  <c r="G180" i="5"/>
  <c r="M179" i="5"/>
  <c r="K179" i="5"/>
  <c r="I179" i="5"/>
  <c r="G179" i="5"/>
  <c r="M178" i="5"/>
  <c r="K178" i="5"/>
  <c r="I178" i="5"/>
  <c r="G178" i="5"/>
  <c r="M177" i="5"/>
  <c r="K177" i="5"/>
  <c r="I177" i="5"/>
  <c r="G177" i="5"/>
  <c r="M176" i="5"/>
  <c r="K176" i="5"/>
  <c r="I176" i="5"/>
  <c r="G176" i="5"/>
  <c r="M175" i="5"/>
  <c r="K175" i="5"/>
  <c r="I175" i="5"/>
  <c r="G175" i="5"/>
  <c r="M174" i="5"/>
  <c r="K174" i="5"/>
  <c r="I174" i="5"/>
  <c r="G174" i="5"/>
  <c r="M173" i="5"/>
  <c r="K173" i="5"/>
  <c r="I173" i="5"/>
  <c r="G173" i="5"/>
  <c r="K604" i="5"/>
  <c r="G603" i="5"/>
  <c r="I564" i="5"/>
  <c r="K564" i="5"/>
  <c r="I366" i="5" l="1"/>
  <c r="I426" i="5"/>
  <c r="K426" i="5"/>
  <c r="M366" i="5"/>
  <c r="M426" i="5"/>
  <c r="I186" i="5"/>
  <c r="M186" i="5"/>
  <c r="G186" i="5"/>
  <c r="K186" i="5"/>
  <c r="G524" i="5"/>
  <c r="G484" i="5"/>
  <c r="M604" i="5"/>
  <c r="I604" i="5"/>
  <c r="G604" i="5"/>
  <c r="M603" i="5"/>
  <c r="K603" i="5"/>
  <c r="I603" i="5"/>
  <c r="M602" i="5"/>
  <c r="K602" i="5"/>
  <c r="I602" i="5"/>
  <c r="G602" i="5"/>
  <c r="M601" i="5"/>
  <c r="K601" i="5"/>
  <c r="I601" i="5"/>
  <c r="G601" i="5"/>
  <c r="M600" i="5"/>
  <c r="K600" i="5"/>
  <c r="I600" i="5"/>
  <c r="G600" i="5"/>
  <c r="M599" i="5"/>
  <c r="K599" i="5"/>
  <c r="I599" i="5"/>
  <c r="G599" i="5"/>
  <c r="M598" i="5"/>
  <c r="K598" i="5"/>
  <c r="I598" i="5"/>
  <c r="G598" i="5"/>
  <c r="M597" i="5"/>
  <c r="K597" i="5"/>
  <c r="I597" i="5"/>
  <c r="G597" i="5"/>
  <c r="M596" i="5"/>
  <c r="K596" i="5"/>
  <c r="I596" i="5"/>
  <c r="G596" i="5"/>
  <c r="M595" i="5"/>
  <c r="K595" i="5"/>
  <c r="I595" i="5"/>
  <c r="G595" i="5"/>
  <c r="M594" i="5"/>
  <c r="K594" i="5"/>
  <c r="I594" i="5"/>
  <c r="G594" i="5"/>
  <c r="M593" i="5"/>
  <c r="K593" i="5"/>
  <c r="I593" i="5"/>
  <c r="G593" i="5"/>
  <c r="M524" i="5"/>
  <c r="K524" i="5"/>
  <c r="I524" i="5"/>
  <c r="M523" i="5"/>
  <c r="K523" i="5"/>
  <c r="I523" i="5"/>
  <c r="G523" i="5"/>
  <c r="M522" i="5"/>
  <c r="K522" i="5"/>
  <c r="I522" i="5"/>
  <c r="G522" i="5"/>
  <c r="M521" i="5"/>
  <c r="K521" i="5"/>
  <c r="I521" i="5"/>
  <c r="G521" i="5"/>
  <c r="M520" i="5"/>
  <c r="K520" i="5"/>
  <c r="I520" i="5"/>
  <c r="G520" i="5"/>
  <c r="M519" i="5"/>
  <c r="K519" i="5"/>
  <c r="I519" i="5"/>
  <c r="G519" i="5"/>
  <c r="M518" i="5"/>
  <c r="K518" i="5"/>
  <c r="I518" i="5"/>
  <c r="G518" i="5"/>
  <c r="M517" i="5"/>
  <c r="K517" i="5"/>
  <c r="I517" i="5"/>
  <c r="G517" i="5"/>
  <c r="M516" i="5"/>
  <c r="K516" i="5"/>
  <c r="I516" i="5"/>
  <c r="G516" i="5"/>
  <c r="M515" i="5"/>
  <c r="K515" i="5"/>
  <c r="I515" i="5"/>
  <c r="G515" i="5"/>
  <c r="M514" i="5"/>
  <c r="K514" i="5"/>
  <c r="I514" i="5"/>
  <c r="G514" i="5"/>
  <c r="M513" i="5"/>
  <c r="K513" i="5"/>
  <c r="I513" i="5"/>
  <c r="G513" i="5"/>
  <c r="K284" i="5"/>
  <c r="I24" i="5"/>
  <c r="M64" i="5"/>
  <c r="K64" i="5"/>
  <c r="M63" i="5"/>
  <c r="K63" i="5"/>
  <c r="I63" i="5"/>
  <c r="G63" i="5"/>
  <c r="M62" i="5"/>
  <c r="K62" i="5"/>
  <c r="I62" i="5"/>
  <c r="G62" i="5"/>
  <c r="M61" i="5"/>
  <c r="K61" i="5"/>
  <c r="I61" i="5"/>
  <c r="G61" i="5"/>
  <c r="M60" i="5"/>
  <c r="K60" i="5"/>
  <c r="I60" i="5"/>
  <c r="G60" i="5"/>
  <c r="M59" i="5"/>
  <c r="K59" i="5"/>
  <c r="I59" i="5"/>
  <c r="G59" i="5"/>
  <c r="M58" i="5"/>
  <c r="K58" i="5"/>
  <c r="I58" i="5"/>
  <c r="G58" i="5"/>
  <c r="M57" i="5"/>
  <c r="K57" i="5"/>
  <c r="I57" i="5"/>
  <c r="G57" i="5"/>
  <c r="M56" i="5"/>
  <c r="K56" i="5"/>
  <c r="I56" i="5"/>
  <c r="G56" i="5"/>
  <c r="M55" i="5"/>
  <c r="K55" i="5"/>
  <c r="I55" i="5"/>
  <c r="G55" i="5"/>
  <c r="M54" i="5"/>
  <c r="K54" i="5"/>
  <c r="I54" i="5"/>
  <c r="G54" i="5"/>
  <c r="M53" i="5"/>
  <c r="K53" i="5"/>
  <c r="I53" i="5"/>
  <c r="G53" i="5"/>
  <c r="M584" i="5"/>
  <c r="K584" i="5"/>
  <c r="I584" i="5"/>
  <c r="G584" i="5"/>
  <c r="M583" i="5"/>
  <c r="K583" i="5"/>
  <c r="I583" i="5"/>
  <c r="G583" i="5"/>
  <c r="M582" i="5"/>
  <c r="K582" i="5"/>
  <c r="I582" i="5"/>
  <c r="G582" i="5"/>
  <c r="M581" i="5"/>
  <c r="K581" i="5"/>
  <c r="I581" i="5"/>
  <c r="G581" i="5"/>
  <c r="M580" i="5"/>
  <c r="K580" i="5"/>
  <c r="I580" i="5"/>
  <c r="G580" i="5"/>
  <c r="M579" i="5"/>
  <c r="K579" i="5"/>
  <c r="I579" i="5"/>
  <c r="G579" i="5"/>
  <c r="M578" i="5"/>
  <c r="K578" i="5"/>
  <c r="I578" i="5"/>
  <c r="G578" i="5"/>
  <c r="M577" i="5"/>
  <c r="K577" i="5"/>
  <c r="I577" i="5"/>
  <c r="G577" i="5"/>
  <c r="M576" i="5"/>
  <c r="K576" i="5"/>
  <c r="I576" i="5"/>
  <c r="G576" i="5"/>
  <c r="M575" i="5"/>
  <c r="K575" i="5"/>
  <c r="I575" i="5"/>
  <c r="G575" i="5"/>
  <c r="M574" i="5"/>
  <c r="K574" i="5"/>
  <c r="I574" i="5"/>
  <c r="G574" i="5"/>
  <c r="M573" i="5"/>
  <c r="K573" i="5"/>
  <c r="I573" i="5"/>
  <c r="G573" i="5"/>
  <c r="M564" i="5"/>
  <c r="G564" i="5"/>
  <c r="M563" i="5"/>
  <c r="K563" i="5"/>
  <c r="I563" i="5"/>
  <c r="G563" i="5"/>
  <c r="M562" i="5"/>
  <c r="K562" i="5"/>
  <c r="I562" i="5"/>
  <c r="G562" i="5"/>
  <c r="M561" i="5"/>
  <c r="K561" i="5"/>
  <c r="I561" i="5"/>
  <c r="G561" i="5"/>
  <c r="M560" i="5"/>
  <c r="K560" i="5"/>
  <c r="I560" i="5"/>
  <c r="G560" i="5"/>
  <c r="M559" i="5"/>
  <c r="K559" i="5"/>
  <c r="I559" i="5"/>
  <c r="G559" i="5"/>
  <c r="M558" i="5"/>
  <c r="K558" i="5"/>
  <c r="I558" i="5"/>
  <c r="G558" i="5"/>
  <c r="M557" i="5"/>
  <c r="K557" i="5"/>
  <c r="I557" i="5"/>
  <c r="G557" i="5"/>
  <c r="M556" i="5"/>
  <c r="K556" i="5"/>
  <c r="I556" i="5"/>
  <c r="G556" i="5"/>
  <c r="M555" i="5"/>
  <c r="K555" i="5"/>
  <c r="I555" i="5"/>
  <c r="G555" i="5"/>
  <c r="M554" i="5"/>
  <c r="K554" i="5"/>
  <c r="I554" i="5"/>
  <c r="G554" i="5"/>
  <c r="M553" i="5"/>
  <c r="K553" i="5"/>
  <c r="I553" i="5"/>
  <c r="G553" i="5"/>
  <c r="M544" i="5"/>
  <c r="K544" i="5"/>
  <c r="I544" i="5"/>
  <c r="G544" i="5"/>
  <c r="M543" i="5"/>
  <c r="K543" i="5"/>
  <c r="I543" i="5"/>
  <c r="G543" i="5"/>
  <c r="M542" i="5"/>
  <c r="K542" i="5"/>
  <c r="I542" i="5"/>
  <c r="G542" i="5"/>
  <c r="M541" i="5"/>
  <c r="K541" i="5"/>
  <c r="I541" i="5"/>
  <c r="G541" i="5"/>
  <c r="M540" i="5"/>
  <c r="K540" i="5"/>
  <c r="I540" i="5"/>
  <c r="G540" i="5"/>
  <c r="M539" i="5"/>
  <c r="K539" i="5"/>
  <c r="I539" i="5"/>
  <c r="G539" i="5"/>
  <c r="M538" i="5"/>
  <c r="K538" i="5"/>
  <c r="I538" i="5"/>
  <c r="G538" i="5"/>
  <c r="M537" i="5"/>
  <c r="K537" i="5"/>
  <c r="I537" i="5"/>
  <c r="G537" i="5"/>
  <c r="M536" i="5"/>
  <c r="K536" i="5"/>
  <c r="I536" i="5"/>
  <c r="G536" i="5"/>
  <c r="M535" i="5"/>
  <c r="K535" i="5"/>
  <c r="I535" i="5"/>
  <c r="G535" i="5"/>
  <c r="M534" i="5"/>
  <c r="K534" i="5"/>
  <c r="I534" i="5"/>
  <c r="G534" i="5"/>
  <c r="M533" i="5"/>
  <c r="K533" i="5"/>
  <c r="I533" i="5"/>
  <c r="G533" i="5"/>
  <c r="M504" i="5"/>
  <c r="K504" i="5"/>
  <c r="I504" i="5"/>
  <c r="G504" i="5"/>
  <c r="M503" i="5"/>
  <c r="K503" i="5"/>
  <c r="I503" i="5"/>
  <c r="G503" i="5"/>
  <c r="M502" i="5"/>
  <c r="K502" i="5"/>
  <c r="I502" i="5"/>
  <c r="G502" i="5"/>
  <c r="M501" i="5"/>
  <c r="K501" i="5"/>
  <c r="I501" i="5"/>
  <c r="G501" i="5"/>
  <c r="M500" i="5"/>
  <c r="K500" i="5"/>
  <c r="I500" i="5"/>
  <c r="G500" i="5"/>
  <c r="M499" i="5"/>
  <c r="K499" i="5"/>
  <c r="I499" i="5"/>
  <c r="G499" i="5"/>
  <c r="M498" i="5"/>
  <c r="K498" i="5"/>
  <c r="I498" i="5"/>
  <c r="G498" i="5"/>
  <c r="M497" i="5"/>
  <c r="K497" i="5"/>
  <c r="I497" i="5"/>
  <c r="G497" i="5"/>
  <c r="M496" i="5"/>
  <c r="K496" i="5"/>
  <c r="I496" i="5"/>
  <c r="G496" i="5"/>
  <c r="M495" i="5"/>
  <c r="K495" i="5"/>
  <c r="I495" i="5"/>
  <c r="G495" i="5"/>
  <c r="M494" i="5"/>
  <c r="K494" i="5"/>
  <c r="I494" i="5"/>
  <c r="G494" i="5"/>
  <c r="M493" i="5"/>
  <c r="K493" i="5"/>
  <c r="I493" i="5"/>
  <c r="G493" i="5"/>
  <c r="M484" i="5"/>
  <c r="K484" i="5"/>
  <c r="I484" i="5"/>
  <c r="M483" i="5"/>
  <c r="K483" i="5"/>
  <c r="I483" i="5"/>
  <c r="G483" i="5"/>
  <c r="M482" i="5"/>
  <c r="K482" i="5"/>
  <c r="I482" i="5"/>
  <c r="G482" i="5"/>
  <c r="M481" i="5"/>
  <c r="K481" i="5"/>
  <c r="I481" i="5"/>
  <c r="G481" i="5"/>
  <c r="M480" i="5"/>
  <c r="K480" i="5"/>
  <c r="I480" i="5"/>
  <c r="G480" i="5"/>
  <c r="M479" i="5"/>
  <c r="K479" i="5"/>
  <c r="I479" i="5"/>
  <c r="G479" i="5"/>
  <c r="M478" i="5"/>
  <c r="K478" i="5"/>
  <c r="I478" i="5"/>
  <c r="G478" i="5"/>
  <c r="M477" i="5"/>
  <c r="K477" i="5"/>
  <c r="I477" i="5"/>
  <c r="G477" i="5"/>
  <c r="M476" i="5"/>
  <c r="K476" i="5"/>
  <c r="I476" i="5"/>
  <c r="G476" i="5"/>
  <c r="M475" i="5"/>
  <c r="K475" i="5"/>
  <c r="I475" i="5"/>
  <c r="G475" i="5"/>
  <c r="M474" i="5"/>
  <c r="K474" i="5"/>
  <c r="I474" i="5"/>
  <c r="G474" i="5"/>
  <c r="M473" i="5"/>
  <c r="K473" i="5"/>
  <c r="I473" i="5"/>
  <c r="G473" i="5"/>
  <c r="M444" i="5"/>
  <c r="K444" i="5"/>
  <c r="I444" i="5"/>
  <c r="G444" i="5"/>
  <c r="M443" i="5"/>
  <c r="K443" i="5"/>
  <c r="I443" i="5"/>
  <c r="G443" i="5"/>
  <c r="M442" i="5"/>
  <c r="K442" i="5"/>
  <c r="I442" i="5"/>
  <c r="G442" i="5"/>
  <c r="M441" i="5"/>
  <c r="K441" i="5"/>
  <c r="I441" i="5"/>
  <c r="G441" i="5"/>
  <c r="M440" i="5"/>
  <c r="K440" i="5"/>
  <c r="I440" i="5"/>
  <c r="G440" i="5"/>
  <c r="M439" i="5"/>
  <c r="K439" i="5"/>
  <c r="I439" i="5"/>
  <c r="G439" i="5"/>
  <c r="M438" i="5"/>
  <c r="K438" i="5"/>
  <c r="I438" i="5"/>
  <c r="G438" i="5"/>
  <c r="M437" i="5"/>
  <c r="K437" i="5"/>
  <c r="I437" i="5"/>
  <c r="G437" i="5"/>
  <c r="M436" i="5"/>
  <c r="K436" i="5"/>
  <c r="I436" i="5"/>
  <c r="G436" i="5"/>
  <c r="M435" i="5"/>
  <c r="K435" i="5"/>
  <c r="I435" i="5"/>
  <c r="G435" i="5"/>
  <c r="M434" i="5"/>
  <c r="K434" i="5"/>
  <c r="I434" i="5"/>
  <c r="G434" i="5"/>
  <c r="M433" i="5"/>
  <c r="K433" i="5"/>
  <c r="I433" i="5"/>
  <c r="G433" i="5"/>
  <c r="M404" i="5"/>
  <c r="K404" i="5"/>
  <c r="I404" i="5"/>
  <c r="G404" i="5"/>
  <c r="M403" i="5"/>
  <c r="K403" i="5"/>
  <c r="I403" i="5"/>
  <c r="G403" i="5"/>
  <c r="M402" i="5"/>
  <c r="K402" i="5"/>
  <c r="I402" i="5"/>
  <c r="G402" i="5"/>
  <c r="M401" i="5"/>
  <c r="K401" i="5"/>
  <c r="I401" i="5"/>
  <c r="G401" i="5"/>
  <c r="M400" i="5"/>
  <c r="K400" i="5"/>
  <c r="I400" i="5"/>
  <c r="G400" i="5"/>
  <c r="M399" i="5"/>
  <c r="K399" i="5"/>
  <c r="I399" i="5"/>
  <c r="G399" i="5"/>
  <c r="M398" i="5"/>
  <c r="K398" i="5"/>
  <c r="I398" i="5"/>
  <c r="G398" i="5"/>
  <c r="M397" i="5"/>
  <c r="K397" i="5"/>
  <c r="I397" i="5"/>
  <c r="G397" i="5"/>
  <c r="M396" i="5"/>
  <c r="K396" i="5"/>
  <c r="I396" i="5"/>
  <c r="G396" i="5"/>
  <c r="M395" i="5"/>
  <c r="K395" i="5"/>
  <c r="I395" i="5"/>
  <c r="G395" i="5"/>
  <c r="M394" i="5"/>
  <c r="K394" i="5"/>
  <c r="I394" i="5"/>
  <c r="G394" i="5"/>
  <c r="M393" i="5"/>
  <c r="K393" i="5"/>
  <c r="I393" i="5"/>
  <c r="G393" i="5"/>
  <c r="M384" i="5"/>
  <c r="K384" i="5"/>
  <c r="I384" i="5"/>
  <c r="G384" i="5"/>
  <c r="M383" i="5"/>
  <c r="K383" i="5"/>
  <c r="I383" i="5"/>
  <c r="G383" i="5"/>
  <c r="M382" i="5"/>
  <c r="K382" i="5"/>
  <c r="I382" i="5"/>
  <c r="G382" i="5"/>
  <c r="M381" i="5"/>
  <c r="K381" i="5"/>
  <c r="I381" i="5"/>
  <c r="G381" i="5"/>
  <c r="M380" i="5"/>
  <c r="K380" i="5"/>
  <c r="I380" i="5"/>
  <c r="G380" i="5"/>
  <c r="M379" i="5"/>
  <c r="K379" i="5"/>
  <c r="I379" i="5"/>
  <c r="G379" i="5"/>
  <c r="M378" i="5"/>
  <c r="K378" i="5"/>
  <c r="I378" i="5"/>
  <c r="G378" i="5"/>
  <c r="M377" i="5"/>
  <c r="K377" i="5"/>
  <c r="I377" i="5"/>
  <c r="G377" i="5"/>
  <c r="M376" i="5"/>
  <c r="K376" i="5"/>
  <c r="I376" i="5"/>
  <c r="G376" i="5"/>
  <c r="M375" i="5"/>
  <c r="K375" i="5"/>
  <c r="I375" i="5"/>
  <c r="G375" i="5"/>
  <c r="M374" i="5"/>
  <c r="K374" i="5"/>
  <c r="I374" i="5"/>
  <c r="G374" i="5"/>
  <c r="M373" i="5"/>
  <c r="K373" i="5"/>
  <c r="I373" i="5"/>
  <c r="G373" i="5"/>
  <c r="M344" i="5"/>
  <c r="G344" i="5"/>
  <c r="M343" i="5"/>
  <c r="K343" i="5"/>
  <c r="I343" i="5"/>
  <c r="G343" i="5"/>
  <c r="M342" i="5"/>
  <c r="K342" i="5"/>
  <c r="I342" i="5"/>
  <c r="G342" i="5"/>
  <c r="M341" i="5"/>
  <c r="K341" i="5"/>
  <c r="I341" i="5"/>
  <c r="G341" i="5"/>
  <c r="M340" i="5"/>
  <c r="K340" i="5"/>
  <c r="I340" i="5"/>
  <c r="G340" i="5"/>
  <c r="M339" i="5"/>
  <c r="K339" i="5"/>
  <c r="I339" i="5"/>
  <c r="G339" i="5"/>
  <c r="M338" i="5"/>
  <c r="K338" i="5"/>
  <c r="I338" i="5"/>
  <c r="G338" i="5"/>
  <c r="M337" i="5"/>
  <c r="K337" i="5"/>
  <c r="I337" i="5"/>
  <c r="G337" i="5"/>
  <c r="M336" i="5"/>
  <c r="K336" i="5"/>
  <c r="I336" i="5"/>
  <c r="G336" i="5"/>
  <c r="M335" i="5"/>
  <c r="K335" i="5"/>
  <c r="I335" i="5"/>
  <c r="G335" i="5"/>
  <c r="M334" i="5"/>
  <c r="K334" i="5"/>
  <c r="I334" i="5"/>
  <c r="G334" i="5"/>
  <c r="M333" i="5"/>
  <c r="K333" i="5"/>
  <c r="I333" i="5"/>
  <c r="G333" i="5"/>
  <c r="G324" i="5"/>
  <c r="M323" i="5"/>
  <c r="K323" i="5"/>
  <c r="I323" i="5"/>
  <c r="G323" i="5"/>
  <c r="M322" i="5"/>
  <c r="K322" i="5"/>
  <c r="I322" i="5"/>
  <c r="G322" i="5"/>
  <c r="M321" i="5"/>
  <c r="K321" i="5"/>
  <c r="I321" i="5"/>
  <c r="G321" i="5"/>
  <c r="M320" i="5"/>
  <c r="K320" i="5"/>
  <c r="I320" i="5"/>
  <c r="G320" i="5"/>
  <c r="M319" i="5"/>
  <c r="K319" i="5"/>
  <c r="I319" i="5"/>
  <c r="G319" i="5"/>
  <c r="M318" i="5"/>
  <c r="K318" i="5"/>
  <c r="I318" i="5"/>
  <c r="G318" i="5"/>
  <c r="M317" i="5"/>
  <c r="K317" i="5"/>
  <c r="I317" i="5"/>
  <c r="G317" i="5"/>
  <c r="M316" i="5"/>
  <c r="K316" i="5"/>
  <c r="I316" i="5"/>
  <c r="G316" i="5"/>
  <c r="M315" i="5"/>
  <c r="K315" i="5"/>
  <c r="I315" i="5"/>
  <c r="G315" i="5"/>
  <c r="M314" i="5"/>
  <c r="K314" i="5"/>
  <c r="I314" i="5"/>
  <c r="G314" i="5"/>
  <c r="M313" i="5"/>
  <c r="K313" i="5"/>
  <c r="I313" i="5"/>
  <c r="G313" i="5"/>
  <c r="M304" i="5"/>
  <c r="K304" i="5"/>
  <c r="I304" i="5"/>
  <c r="M303" i="5"/>
  <c r="K303" i="5"/>
  <c r="I303" i="5"/>
  <c r="G303" i="5"/>
  <c r="M302" i="5"/>
  <c r="K302" i="5"/>
  <c r="I302" i="5"/>
  <c r="G302" i="5"/>
  <c r="M301" i="5"/>
  <c r="K301" i="5"/>
  <c r="I301" i="5"/>
  <c r="G301" i="5"/>
  <c r="M300" i="5"/>
  <c r="K300" i="5"/>
  <c r="I300" i="5"/>
  <c r="G300" i="5"/>
  <c r="M299" i="5"/>
  <c r="K299" i="5"/>
  <c r="I299" i="5"/>
  <c r="G299" i="5"/>
  <c r="M298" i="5"/>
  <c r="K298" i="5"/>
  <c r="I298" i="5"/>
  <c r="G298" i="5"/>
  <c r="M297" i="5"/>
  <c r="K297" i="5"/>
  <c r="I297" i="5"/>
  <c r="G297" i="5"/>
  <c r="M296" i="5"/>
  <c r="K296" i="5"/>
  <c r="I296" i="5"/>
  <c r="G296" i="5"/>
  <c r="M295" i="5"/>
  <c r="K295" i="5"/>
  <c r="I295" i="5"/>
  <c r="G295" i="5"/>
  <c r="M294" i="5"/>
  <c r="K294" i="5"/>
  <c r="I294" i="5"/>
  <c r="G294" i="5"/>
  <c r="M293" i="5"/>
  <c r="K293" i="5"/>
  <c r="I293" i="5"/>
  <c r="G293" i="5"/>
  <c r="M284" i="5"/>
  <c r="I284" i="5"/>
  <c r="G284" i="5"/>
  <c r="M283" i="5"/>
  <c r="K283" i="5"/>
  <c r="I283" i="5"/>
  <c r="G283" i="5"/>
  <c r="M282" i="5"/>
  <c r="K282" i="5"/>
  <c r="I282" i="5"/>
  <c r="G282" i="5"/>
  <c r="M281" i="5"/>
  <c r="K281" i="5"/>
  <c r="I281" i="5"/>
  <c r="G281" i="5"/>
  <c r="M280" i="5"/>
  <c r="K280" i="5"/>
  <c r="I280" i="5"/>
  <c r="G280" i="5"/>
  <c r="M279" i="5"/>
  <c r="K279" i="5"/>
  <c r="I279" i="5"/>
  <c r="G279" i="5"/>
  <c r="M278" i="5"/>
  <c r="K278" i="5"/>
  <c r="I278" i="5"/>
  <c r="G278" i="5"/>
  <c r="M277" i="5"/>
  <c r="K277" i="5"/>
  <c r="I277" i="5"/>
  <c r="G277" i="5"/>
  <c r="M276" i="5"/>
  <c r="K276" i="5"/>
  <c r="I276" i="5"/>
  <c r="G276" i="5"/>
  <c r="M275" i="5"/>
  <c r="K275" i="5"/>
  <c r="I275" i="5"/>
  <c r="G275" i="5"/>
  <c r="M274" i="5"/>
  <c r="K274" i="5"/>
  <c r="I274" i="5"/>
  <c r="G274" i="5"/>
  <c r="M273" i="5"/>
  <c r="K273" i="5"/>
  <c r="I273" i="5"/>
  <c r="G273" i="5"/>
  <c r="M264" i="5"/>
  <c r="M263" i="5"/>
  <c r="K263" i="5"/>
  <c r="I263" i="5"/>
  <c r="G263" i="5"/>
  <c r="M262" i="5"/>
  <c r="K262" i="5"/>
  <c r="I262" i="5"/>
  <c r="G262" i="5"/>
  <c r="M261" i="5"/>
  <c r="K261" i="5"/>
  <c r="I261" i="5"/>
  <c r="G261" i="5"/>
  <c r="M260" i="5"/>
  <c r="K260" i="5"/>
  <c r="I260" i="5"/>
  <c r="G260" i="5"/>
  <c r="M259" i="5"/>
  <c r="K259" i="5"/>
  <c r="I259" i="5"/>
  <c r="G259" i="5"/>
  <c r="M258" i="5"/>
  <c r="K258" i="5"/>
  <c r="I258" i="5"/>
  <c r="G258" i="5"/>
  <c r="M257" i="5"/>
  <c r="K257" i="5"/>
  <c r="I257" i="5"/>
  <c r="G257" i="5"/>
  <c r="M256" i="5"/>
  <c r="K256" i="5"/>
  <c r="I256" i="5"/>
  <c r="G256" i="5"/>
  <c r="M255" i="5"/>
  <c r="K255" i="5"/>
  <c r="I255" i="5"/>
  <c r="G255" i="5"/>
  <c r="M254" i="5"/>
  <c r="K254" i="5"/>
  <c r="I254" i="5"/>
  <c r="G254" i="5"/>
  <c r="M253" i="5"/>
  <c r="K253" i="5"/>
  <c r="I253" i="5"/>
  <c r="G253" i="5"/>
  <c r="G244" i="5"/>
  <c r="M243" i="5"/>
  <c r="K243" i="5"/>
  <c r="I243" i="5"/>
  <c r="G243" i="5"/>
  <c r="M242" i="5"/>
  <c r="K242" i="5"/>
  <c r="I242" i="5"/>
  <c r="G242" i="5"/>
  <c r="M241" i="5"/>
  <c r="K241" i="5"/>
  <c r="I241" i="5"/>
  <c r="G241" i="5"/>
  <c r="M240" i="5"/>
  <c r="K240" i="5"/>
  <c r="I240" i="5"/>
  <c r="G240" i="5"/>
  <c r="M239" i="5"/>
  <c r="K239" i="5"/>
  <c r="I239" i="5"/>
  <c r="G239" i="5"/>
  <c r="M238" i="5"/>
  <c r="K238" i="5"/>
  <c r="I238" i="5"/>
  <c r="G238" i="5"/>
  <c r="M237" i="5"/>
  <c r="K237" i="5"/>
  <c r="I237" i="5"/>
  <c r="G237" i="5"/>
  <c r="M236" i="5"/>
  <c r="K236" i="5"/>
  <c r="I236" i="5"/>
  <c r="G236" i="5"/>
  <c r="M235" i="5"/>
  <c r="K235" i="5"/>
  <c r="I235" i="5"/>
  <c r="G235" i="5"/>
  <c r="M234" i="5"/>
  <c r="K234" i="5"/>
  <c r="I234" i="5"/>
  <c r="G234" i="5"/>
  <c r="M233" i="5"/>
  <c r="K233" i="5"/>
  <c r="I233" i="5"/>
  <c r="G233" i="5"/>
  <c r="M224" i="5"/>
  <c r="K224" i="5"/>
  <c r="G224" i="5"/>
  <c r="M223" i="5"/>
  <c r="K223" i="5"/>
  <c r="I223" i="5"/>
  <c r="G223" i="5"/>
  <c r="M222" i="5"/>
  <c r="K222" i="5"/>
  <c r="I222" i="5"/>
  <c r="G222" i="5"/>
  <c r="M221" i="5"/>
  <c r="K221" i="5"/>
  <c r="I221" i="5"/>
  <c r="G221" i="5"/>
  <c r="M220" i="5"/>
  <c r="K220" i="5"/>
  <c r="I220" i="5"/>
  <c r="G220" i="5"/>
  <c r="M219" i="5"/>
  <c r="K219" i="5"/>
  <c r="I219" i="5"/>
  <c r="G219" i="5"/>
  <c r="M218" i="5"/>
  <c r="K218" i="5"/>
  <c r="I218" i="5"/>
  <c r="G218" i="5"/>
  <c r="M217" i="5"/>
  <c r="K217" i="5"/>
  <c r="I217" i="5"/>
  <c r="G217" i="5"/>
  <c r="M216" i="5"/>
  <c r="K216" i="5"/>
  <c r="I216" i="5"/>
  <c r="G216" i="5"/>
  <c r="M215" i="5"/>
  <c r="K215" i="5"/>
  <c r="I215" i="5"/>
  <c r="G215" i="5"/>
  <c r="M214" i="5"/>
  <c r="K214" i="5"/>
  <c r="I214" i="5"/>
  <c r="G214" i="5"/>
  <c r="M213" i="5"/>
  <c r="K213" i="5"/>
  <c r="I213" i="5"/>
  <c r="G213" i="5"/>
  <c r="K204" i="5"/>
  <c r="I204" i="5"/>
  <c r="G204" i="5"/>
  <c r="M203" i="5"/>
  <c r="K203" i="5"/>
  <c r="I203" i="5"/>
  <c r="G203" i="5"/>
  <c r="M202" i="5"/>
  <c r="K202" i="5"/>
  <c r="I202" i="5"/>
  <c r="G202" i="5"/>
  <c r="M201" i="5"/>
  <c r="K201" i="5"/>
  <c r="I201" i="5"/>
  <c r="G201" i="5"/>
  <c r="M200" i="5"/>
  <c r="K200" i="5"/>
  <c r="I200" i="5"/>
  <c r="G200" i="5"/>
  <c r="M199" i="5"/>
  <c r="K199" i="5"/>
  <c r="I199" i="5"/>
  <c r="G199" i="5"/>
  <c r="M198" i="5"/>
  <c r="K198" i="5"/>
  <c r="I198" i="5"/>
  <c r="G198" i="5"/>
  <c r="M197" i="5"/>
  <c r="K197" i="5"/>
  <c r="I197" i="5"/>
  <c r="G197" i="5"/>
  <c r="M196" i="5"/>
  <c r="K196" i="5"/>
  <c r="I196" i="5"/>
  <c r="G196" i="5"/>
  <c r="M195" i="5"/>
  <c r="K195" i="5"/>
  <c r="I195" i="5"/>
  <c r="G195" i="5"/>
  <c r="M194" i="5"/>
  <c r="K194" i="5"/>
  <c r="I194" i="5"/>
  <c r="G194" i="5"/>
  <c r="M193" i="5"/>
  <c r="K193" i="5"/>
  <c r="I193" i="5"/>
  <c r="G193" i="5"/>
  <c r="M163" i="5"/>
  <c r="K163" i="5"/>
  <c r="I163" i="5"/>
  <c r="G163" i="5"/>
  <c r="M162" i="5"/>
  <c r="K162" i="5"/>
  <c r="I162" i="5"/>
  <c r="G162" i="5"/>
  <c r="M161" i="5"/>
  <c r="K161" i="5"/>
  <c r="I161" i="5"/>
  <c r="G161" i="5"/>
  <c r="M160" i="5"/>
  <c r="K160" i="5"/>
  <c r="I160" i="5"/>
  <c r="G160" i="5"/>
  <c r="M159" i="5"/>
  <c r="K159" i="5"/>
  <c r="I159" i="5"/>
  <c r="G159" i="5"/>
  <c r="M158" i="5"/>
  <c r="K158" i="5"/>
  <c r="I158" i="5"/>
  <c r="G158" i="5"/>
  <c r="M157" i="5"/>
  <c r="K157" i="5"/>
  <c r="I157" i="5"/>
  <c r="G157" i="5"/>
  <c r="M156" i="5"/>
  <c r="K156" i="5"/>
  <c r="I156" i="5"/>
  <c r="G156" i="5"/>
  <c r="M155" i="5"/>
  <c r="K155" i="5"/>
  <c r="I155" i="5"/>
  <c r="G155" i="5"/>
  <c r="M154" i="5"/>
  <c r="K154" i="5"/>
  <c r="I154" i="5"/>
  <c r="G154" i="5"/>
  <c r="M153" i="5"/>
  <c r="K153" i="5"/>
  <c r="I153" i="5"/>
  <c r="G153" i="5"/>
  <c r="M143" i="5"/>
  <c r="K143" i="5"/>
  <c r="I143" i="5"/>
  <c r="G143" i="5"/>
  <c r="M142" i="5"/>
  <c r="K142" i="5"/>
  <c r="I142" i="5"/>
  <c r="G142" i="5"/>
  <c r="M141" i="5"/>
  <c r="K141" i="5"/>
  <c r="I141" i="5"/>
  <c r="G141" i="5"/>
  <c r="M140" i="5"/>
  <c r="K140" i="5"/>
  <c r="I140" i="5"/>
  <c r="G140" i="5"/>
  <c r="M139" i="5"/>
  <c r="K139" i="5"/>
  <c r="I139" i="5"/>
  <c r="G139" i="5"/>
  <c r="M138" i="5"/>
  <c r="K138" i="5"/>
  <c r="I138" i="5"/>
  <c r="G138" i="5"/>
  <c r="M137" i="5"/>
  <c r="K137" i="5"/>
  <c r="I137" i="5"/>
  <c r="G137" i="5"/>
  <c r="M136" i="5"/>
  <c r="K136" i="5"/>
  <c r="I136" i="5"/>
  <c r="G136" i="5"/>
  <c r="M135" i="5"/>
  <c r="K135" i="5"/>
  <c r="I135" i="5"/>
  <c r="G135" i="5"/>
  <c r="M134" i="5"/>
  <c r="K134" i="5"/>
  <c r="I134" i="5"/>
  <c r="G134" i="5"/>
  <c r="M133" i="5"/>
  <c r="K133" i="5"/>
  <c r="I133" i="5"/>
  <c r="G133" i="5"/>
  <c r="M124" i="5"/>
  <c r="K124" i="5"/>
  <c r="I124" i="5"/>
  <c r="G124" i="5"/>
  <c r="M123" i="5"/>
  <c r="K123" i="5"/>
  <c r="I123" i="5"/>
  <c r="G123" i="5"/>
  <c r="M122" i="5"/>
  <c r="K122" i="5"/>
  <c r="I122" i="5"/>
  <c r="G122" i="5"/>
  <c r="M121" i="5"/>
  <c r="K121" i="5"/>
  <c r="I121" i="5"/>
  <c r="G121" i="5"/>
  <c r="M120" i="5"/>
  <c r="K120" i="5"/>
  <c r="I120" i="5"/>
  <c r="G120" i="5"/>
  <c r="M119" i="5"/>
  <c r="K119" i="5"/>
  <c r="I119" i="5"/>
  <c r="G119" i="5"/>
  <c r="M118" i="5"/>
  <c r="K118" i="5"/>
  <c r="I118" i="5"/>
  <c r="G118" i="5"/>
  <c r="M117" i="5"/>
  <c r="K117" i="5"/>
  <c r="I117" i="5"/>
  <c r="G117" i="5"/>
  <c r="M116" i="5"/>
  <c r="K116" i="5"/>
  <c r="I116" i="5"/>
  <c r="G116" i="5"/>
  <c r="M115" i="5"/>
  <c r="K115" i="5"/>
  <c r="I115" i="5"/>
  <c r="G115" i="5"/>
  <c r="M114" i="5"/>
  <c r="K114" i="5"/>
  <c r="I114" i="5"/>
  <c r="G114" i="5"/>
  <c r="M113" i="5"/>
  <c r="K113" i="5"/>
  <c r="I113" i="5"/>
  <c r="G113" i="5"/>
  <c r="M104" i="5"/>
  <c r="K104" i="5"/>
  <c r="I104" i="5"/>
  <c r="G104" i="5"/>
  <c r="M103" i="5"/>
  <c r="K103" i="5"/>
  <c r="I103" i="5"/>
  <c r="G103" i="5"/>
  <c r="M102" i="5"/>
  <c r="K102" i="5"/>
  <c r="I102" i="5"/>
  <c r="G102" i="5"/>
  <c r="M101" i="5"/>
  <c r="K101" i="5"/>
  <c r="I101" i="5"/>
  <c r="G101" i="5"/>
  <c r="M100" i="5"/>
  <c r="K100" i="5"/>
  <c r="I100" i="5"/>
  <c r="G100" i="5"/>
  <c r="M99" i="5"/>
  <c r="K99" i="5"/>
  <c r="I99" i="5"/>
  <c r="G99" i="5"/>
  <c r="M98" i="5"/>
  <c r="K98" i="5"/>
  <c r="I98" i="5"/>
  <c r="G98" i="5"/>
  <c r="M97" i="5"/>
  <c r="K97" i="5"/>
  <c r="I97" i="5"/>
  <c r="G97" i="5"/>
  <c r="M96" i="5"/>
  <c r="K96" i="5"/>
  <c r="I96" i="5"/>
  <c r="G96" i="5"/>
  <c r="M95" i="5"/>
  <c r="K95" i="5"/>
  <c r="I95" i="5"/>
  <c r="G95" i="5"/>
  <c r="M94" i="5"/>
  <c r="K94" i="5"/>
  <c r="I94" i="5"/>
  <c r="G94" i="5"/>
  <c r="M93" i="5"/>
  <c r="K93" i="5"/>
  <c r="I93" i="5"/>
  <c r="G93" i="5"/>
  <c r="M83" i="5"/>
  <c r="K83" i="5"/>
  <c r="I83" i="5"/>
  <c r="G83" i="5"/>
  <c r="M82" i="5"/>
  <c r="K82" i="5"/>
  <c r="I82" i="5"/>
  <c r="G82" i="5"/>
  <c r="M81" i="5"/>
  <c r="K81" i="5"/>
  <c r="I81" i="5"/>
  <c r="G81" i="5"/>
  <c r="M80" i="5"/>
  <c r="K80" i="5"/>
  <c r="I80" i="5"/>
  <c r="G80" i="5"/>
  <c r="M79" i="5"/>
  <c r="K79" i="5"/>
  <c r="I79" i="5"/>
  <c r="G79" i="5"/>
  <c r="M78" i="5"/>
  <c r="K78" i="5"/>
  <c r="I78" i="5"/>
  <c r="G78" i="5"/>
  <c r="M77" i="5"/>
  <c r="K77" i="5"/>
  <c r="I77" i="5"/>
  <c r="G77" i="5"/>
  <c r="M76" i="5"/>
  <c r="K76" i="5"/>
  <c r="I76" i="5"/>
  <c r="G76" i="5"/>
  <c r="M75" i="5"/>
  <c r="K75" i="5"/>
  <c r="I75" i="5"/>
  <c r="G75" i="5"/>
  <c r="M74" i="5"/>
  <c r="K74" i="5"/>
  <c r="I74" i="5"/>
  <c r="G74" i="5"/>
  <c r="M73" i="5"/>
  <c r="K73" i="5"/>
  <c r="I73" i="5"/>
  <c r="G73" i="5"/>
  <c r="M40" i="5"/>
  <c r="K40" i="5"/>
  <c r="I40" i="5"/>
  <c r="G40" i="5"/>
  <c r="M39" i="5"/>
  <c r="K39" i="5"/>
  <c r="I39" i="5"/>
  <c r="G39" i="5"/>
  <c r="M38" i="5"/>
  <c r="K38" i="5"/>
  <c r="I38" i="5"/>
  <c r="G38" i="5"/>
  <c r="M37" i="5"/>
  <c r="K37" i="5"/>
  <c r="I37" i="5"/>
  <c r="G37" i="5"/>
  <c r="M36" i="5"/>
  <c r="K36" i="5"/>
  <c r="I36" i="5"/>
  <c r="G36" i="5"/>
  <c r="M35" i="5"/>
  <c r="K35" i="5"/>
  <c r="I35" i="5"/>
  <c r="G35" i="5"/>
  <c r="M34" i="5"/>
  <c r="K34" i="5"/>
  <c r="I34" i="5"/>
  <c r="G34" i="5"/>
  <c r="M33" i="5"/>
  <c r="K33" i="5"/>
  <c r="I33" i="5"/>
  <c r="G33" i="5"/>
  <c r="M23" i="5"/>
  <c r="K23" i="5"/>
  <c r="I23" i="5"/>
  <c r="G23" i="5"/>
  <c r="M22" i="5"/>
  <c r="K22" i="5"/>
  <c r="I22" i="5"/>
  <c r="G22" i="5"/>
  <c r="M21" i="5"/>
  <c r="K21" i="5"/>
  <c r="I21" i="5"/>
  <c r="G21" i="5"/>
  <c r="M20" i="5"/>
  <c r="K20" i="5"/>
  <c r="I20" i="5"/>
  <c r="G20" i="5"/>
  <c r="M19" i="5"/>
  <c r="K19" i="5"/>
  <c r="I19" i="5"/>
  <c r="G19" i="5"/>
  <c r="M18" i="5"/>
  <c r="K18" i="5"/>
  <c r="I18" i="5"/>
  <c r="G18" i="5"/>
  <c r="M17" i="5"/>
  <c r="K17" i="5"/>
  <c r="I17" i="5"/>
  <c r="G17" i="5"/>
  <c r="M16" i="5"/>
  <c r="K16" i="5"/>
  <c r="I16" i="5"/>
  <c r="G16" i="5"/>
  <c r="M15" i="5"/>
  <c r="K15" i="5"/>
  <c r="I15" i="5"/>
  <c r="G15" i="5"/>
  <c r="M14" i="5"/>
  <c r="K14" i="5"/>
  <c r="I14" i="5"/>
  <c r="G14" i="5"/>
  <c r="M13" i="5"/>
  <c r="K13" i="5"/>
  <c r="I13" i="5"/>
  <c r="G13" i="5"/>
  <c r="M526" i="5" l="1"/>
  <c r="I526" i="5"/>
  <c r="M606" i="5"/>
  <c r="K606" i="5"/>
  <c r="G606" i="5"/>
  <c r="I606" i="5"/>
  <c r="K526" i="5"/>
  <c r="G526" i="5"/>
  <c r="K586" i="5"/>
  <c r="I566" i="5"/>
  <c r="M566" i="5"/>
  <c r="M586" i="5"/>
  <c r="G46" i="5"/>
  <c r="M66" i="5"/>
  <c r="G66" i="5"/>
  <c r="K66" i="5"/>
  <c r="I66" i="5"/>
  <c r="K46" i="5"/>
  <c r="K86" i="5"/>
  <c r="K106" i="5"/>
  <c r="K126" i="5"/>
  <c r="K146" i="5"/>
  <c r="K166" i="5"/>
  <c r="K206" i="5"/>
  <c r="K226" i="5"/>
  <c r="K246" i="5"/>
  <c r="K266" i="5"/>
  <c r="K286" i="5"/>
  <c r="K306" i="5"/>
  <c r="K326" i="5"/>
  <c r="K346" i="5"/>
  <c r="K386" i="5"/>
  <c r="K406" i="5"/>
  <c r="K446" i="5"/>
  <c r="K486" i="5"/>
  <c r="K506" i="5"/>
  <c r="K546" i="5"/>
  <c r="K566" i="5"/>
  <c r="G586" i="5"/>
  <c r="M46" i="5"/>
  <c r="M86" i="5"/>
  <c r="M106" i="5"/>
  <c r="M126" i="5"/>
  <c r="M146" i="5"/>
  <c r="M166" i="5"/>
  <c r="M206" i="5"/>
  <c r="M226" i="5"/>
  <c r="M246" i="5"/>
  <c r="M266" i="5"/>
  <c r="M286" i="5"/>
  <c r="M306" i="5"/>
  <c r="M326" i="5"/>
  <c r="M346" i="5"/>
  <c r="M386" i="5"/>
  <c r="M406" i="5"/>
  <c r="M446" i="5"/>
  <c r="M486" i="5"/>
  <c r="M506" i="5"/>
  <c r="M546" i="5"/>
  <c r="I586" i="5"/>
  <c r="G86" i="5"/>
  <c r="G106" i="5"/>
  <c r="G126" i="5"/>
  <c r="G146" i="5"/>
  <c r="G166" i="5"/>
  <c r="G206" i="5"/>
  <c r="G226" i="5"/>
  <c r="G246" i="5"/>
  <c r="G266" i="5"/>
  <c r="G286" i="5"/>
  <c r="G306" i="5"/>
  <c r="G326" i="5"/>
  <c r="G346" i="5"/>
  <c r="G386" i="5"/>
  <c r="G406" i="5"/>
  <c r="G446" i="5"/>
  <c r="G486" i="5"/>
  <c r="G506" i="5"/>
  <c r="G546" i="5"/>
  <c r="G566" i="5"/>
  <c r="I46" i="5"/>
  <c r="I86" i="5"/>
  <c r="I106" i="5"/>
  <c r="I126" i="5"/>
  <c r="I146" i="5"/>
  <c r="I166" i="5"/>
  <c r="I206" i="5"/>
  <c r="I226" i="5"/>
  <c r="I246" i="5"/>
  <c r="I266" i="5"/>
  <c r="I286" i="5"/>
  <c r="I306" i="5"/>
  <c r="I326" i="5"/>
  <c r="I346" i="5"/>
  <c r="I386" i="5"/>
  <c r="I406" i="5"/>
  <c r="I446" i="5"/>
  <c r="I486" i="5"/>
  <c r="I506" i="5"/>
  <c r="I546" i="5"/>
  <c r="I26" i="5"/>
  <c r="I27" i="5" s="1"/>
  <c r="M26" i="5"/>
  <c r="M27" i="5" s="1"/>
  <c r="K26" i="5"/>
  <c r="K27" i="5" s="1"/>
  <c r="G26" i="5"/>
  <c r="G27" i="5" s="1"/>
  <c r="I47" i="5" l="1"/>
  <c r="I67" i="5" s="1"/>
  <c r="I87" i="5" s="1"/>
  <c r="I107" i="5" s="1"/>
  <c r="I127" i="5" s="1"/>
  <c r="I147" i="5" s="1"/>
  <c r="I167" i="5" s="1"/>
  <c r="I187" i="5" s="1"/>
  <c r="I207" i="5" s="1"/>
  <c r="I227" i="5" s="1"/>
  <c r="I247" i="5" s="1"/>
  <c r="I267" i="5" s="1"/>
  <c r="I287" i="5" s="1"/>
  <c r="I307" i="5" s="1"/>
  <c r="I327" i="5" s="1"/>
  <c r="I347" i="5" s="1"/>
  <c r="I367" i="5" s="1"/>
  <c r="I387" i="5" s="1"/>
  <c r="I407" i="5" s="1"/>
  <c r="G47" i="5"/>
  <c r="G67" i="5" s="1"/>
  <c r="G87" i="5" s="1"/>
  <c r="G107" i="5" s="1"/>
  <c r="G127" i="5" s="1"/>
  <c r="G147" i="5" s="1"/>
  <c r="G167" i="5" s="1"/>
  <c r="G187" i="5" s="1"/>
  <c r="G207" i="5" s="1"/>
  <c r="G227" i="5" s="1"/>
  <c r="G247" i="5" s="1"/>
  <c r="G267" i="5" s="1"/>
  <c r="G287" i="5" s="1"/>
  <c r="G307" i="5" s="1"/>
  <c r="G327" i="5" s="1"/>
  <c r="G347" i="5" s="1"/>
  <c r="G367" i="5" s="1"/>
  <c r="G387" i="5" s="1"/>
  <c r="G407" i="5" s="1"/>
  <c r="K47" i="5"/>
  <c r="K67" i="5" s="1"/>
  <c r="K87" i="5" s="1"/>
  <c r="K107" i="5" s="1"/>
  <c r="K127" i="5" s="1"/>
  <c r="K147" i="5" s="1"/>
  <c r="K167" i="5" s="1"/>
  <c r="K187" i="5" s="1"/>
  <c r="K207" i="5" s="1"/>
  <c r="K227" i="5" s="1"/>
  <c r="K247" i="5" s="1"/>
  <c r="K267" i="5" s="1"/>
  <c r="K287" i="5" s="1"/>
  <c r="K307" i="5" s="1"/>
  <c r="K327" i="5" s="1"/>
  <c r="K347" i="5" s="1"/>
  <c r="K367" i="5" s="1"/>
  <c r="K387" i="5" s="1"/>
  <c r="K407" i="5" s="1"/>
  <c r="M47" i="5"/>
  <c r="M67" i="5" s="1"/>
  <c r="M87" i="5" s="1"/>
  <c r="M107" i="5" s="1"/>
  <c r="M127" i="5" s="1"/>
  <c r="M147" i="5" s="1"/>
  <c r="M167" i="5" s="1"/>
  <c r="M187" i="5" s="1"/>
  <c r="M207" i="5" s="1"/>
  <c r="M227" i="5" s="1"/>
  <c r="M247" i="5" s="1"/>
  <c r="M267" i="5" s="1"/>
  <c r="M287" i="5" s="1"/>
  <c r="M307" i="5" s="1"/>
  <c r="M327" i="5" s="1"/>
  <c r="M347" i="5" s="1"/>
  <c r="M367" i="5" s="1"/>
  <c r="M387" i="5" s="1"/>
  <c r="M407" i="5" s="1"/>
  <c r="I427" i="5" l="1"/>
  <c r="I447" i="5" s="1"/>
  <c r="G427" i="5"/>
  <c r="G447" i="5" s="1"/>
  <c r="K427" i="5"/>
  <c r="K447" i="5" s="1"/>
  <c r="K467" i="5" s="1"/>
  <c r="K487" i="5" s="1"/>
  <c r="K507" i="5" s="1"/>
  <c r="M427" i="5"/>
  <c r="M447" i="5" s="1"/>
  <c r="M467" i="5" s="1"/>
  <c r="M487" i="5" s="1"/>
  <c r="M507" i="5" s="1"/>
  <c r="I467" i="5" l="1"/>
  <c r="I487" i="5" s="1"/>
  <c r="I507" i="5" s="1"/>
  <c r="I527" i="5" s="1"/>
  <c r="I547" i="5" s="1"/>
  <c r="I567" i="5" s="1"/>
  <c r="I587" i="5" s="1"/>
  <c r="I607" i="5" s="1"/>
  <c r="G467" i="5"/>
  <c r="G487" i="5" s="1"/>
  <c r="G507" i="5" s="1"/>
  <c r="G527" i="5" s="1"/>
  <c r="G547" i="5" s="1"/>
  <c r="G567" i="5" s="1"/>
  <c r="G587" i="5" s="1"/>
  <c r="G607" i="5" s="1"/>
  <c r="M527" i="5"/>
  <c r="M547" i="5" s="1"/>
  <c r="M567" i="5" s="1"/>
  <c r="M587" i="5" s="1"/>
  <c r="M607" i="5" s="1"/>
  <c r="K527" i="5" l="1"/>
  <c r="K547" i="5" s="1"/>
  <c r="K567" i="5" s="1"/>
  <c r="K587" i="5" s="1"/>
  <c r="K607" i="5" s="1"/>
</calcChain>
</file>

<file path=xl/sharedStrings.xml><?xml version="1.0" encoding="utf-8"?>
<sst xmlns="http://schemas.openxmlformats.org/spreadsheetml/2006/main" count="1385" uniqueCount="80">
  <si>
    <t>Skye Leach</t>
  </si>
  <si>
    <t>Whitney Trujillo</t>
  </si>
  <si>
    <t>Bryan Leach</t>
  </si>
  <si>
    <t>Carlos Trujillo</t>
  </si>
  <si>
    <t>Fastest Lap</t>
  </si>
  <si>
    <t>Total Points</t>
  </si>
  <si>
    <t>Pts</t>
  </si>
  <si>
    <t>Driver Finish</t>
  </si>
  <si>
    <t>M. Verstappen</t>
  </si>
  <si>
    <t>C. Leclerc</t>
  </si>
  <si>
    <t>L. Hamilton</t>
  </si>
  <si>
    <t>F. Alonso</t>
  </si>
  <si>
    <t>G. Russell</t>
  </si>
  <si>
    <t>C. Sainz</t>
  </si>
  <si>
    <t>L. Norris</t>
  </si>
  <si>
    <t>A. Albon</t>
  </si>
  <si>
    <t>Current Round Points</t>
  </si>
  <si>
    <t>N. Hulkenberg</t>
  </si>
  <si>
    <t>O. Piastri</t>
  </si>
  <si>
    <t>DNF</t>
  </si>
  <si>
    <t>O. Bearman</t>
  </si>
  <si>
    <t>K. Antonelli</t>
  </si>
  <si>
    <t>I. Hadjar</t>
  </si>
  <si>
    <t>G. Bartoleto</t>
  </si>
  <si>
    <t>Round 19- COTA GP - Grand Prix 2025</t>
  </si>
  <si>
    <t>2026 F1 Driver Jambaroo</t>
  </si>
  <si>
    <t>Round 1 - Australian Grand Prix 2026</t>
  </si>
  <si>
    <t>Round 2 - China 2026 - Sprint</t>
  </si>
  <si>
    <t>Round 2 - China 2026 - Grand Prix</t>
  </si>
  <si>
    <t>Round 3 - Japanese Grand Prix 2026</t>
  </si>
  <si>
    <t>Round 4 - Bahrain Grand Prix 2026</t>
  </si>
  <si>
    <t>Round 5 - Saudi Arabian Grand Prix 2026</t>
  </si>
  <si>
    <t>Round 6 - Miami Grand Prix 2026 - Sprint</t>
  </si>
  <si>
    <t>Round 6 - Miami Grand Prix 2026</t>
  </si>
  <si>
    <t>Round 7 - Grand Prix du Canada 2026</t>
  </si>
  <si>
    <t>Round 7 - Grand Prix du Canada 2026 - Sprint</t>
  </si>
  <si>
    <t>Round 8 - Monaco Grand Prix 2026</t>
  </si>
  <si>
    <t>Round 9 - Spanish Grand Prix 2026</t>
  </si>
  <si>
    <t>Round 10 - Austrian Grand Prix 2026</t>
  </si>
  <si>
    <t>Round 11 - British Grand Prix 2026</t>
  </si>
  <si>
    <t>Round 11 - British Grand Prix 2026 - Sprint</t>
  </si>
  <si>
    <t>Round 12 - Belgian Grand Prix 2026</t>
  </si>
  <si>
    <t>Round 13 - Hungarian Grand Prix 2026</t>
  </si>
  <si>
    <t>Round 14 - Dutch Grand Prix 2026 - Sprint</t>
  </si>
  <si>
    <t>Round 14 - Dutch Grand Prix 2026</t>
  </si>
  <si>
    <t>Round 15 - Italian Grand Prix - Monza - 2026</t>
  </si>
  <si>
    <t>Round 16 - Gran Premio de España - 2026</t>
  </si>
  <si>
    <t>Round 17 - Azerbaijan Grand Prix 2026</t>
  </si>
  <si>
    <t>Round 18 - Singapore Grand Prix 2026 - Sprint</t>
  </si>
  <si>
    <t>Round 18 - Singapore Grand Prix 2026</t>
  </si>
  <si>
    <t>Round 20 - Ciudad de Mexico - Grand Prix 2026</t>
  </si>
  <si>
    <t>Round 21 - Brazil  GP - Grand Prix 2026</t>
  </si>
  <si>
    <t>Round 22 - Vegas Grand Prix - 2026</t>
  </si>
  <si>
    <t>Round 23 - Qatar  GP - Grand Prix 2026</t>
  </si>
  <si>
    <t>Round 24 - Abu Dhabi Grand Prix 2026</t>
  </si>
  <si>
    <t>A. Lindbald</t>
  </si>
  <si>
    <t>P. Gasly</t>
  </si>
  <si>
    <t>Alonso, Bottas, Hadjar, Piastri, Nico</t>
  </si>
  <si>
    <t>L. Hamillton</t>
  </si>
  <si>
    <t>L. Lawson</t>
  </si>
  <si>
    <t>Alonso</t>
  </si>
  <si>
    <t>Stroll</t>
  </si>
  <si>
    <t>L. Stroll</t>
  </si>
  <si>
    <t>S. Perez</t>
  </si>
  <si>
    <t>F. Colapinto</t>
  </si>
  <si>
    <t>A. Lindblad</t>
  </si>
  <si>
    <t>V. Bottas</t>
  </si>
  <si>
    <t>E. Ocon</t>
  </si>
  <si>
    <t>f</t>
  </si>
  <si>
    <t>g</t>
  </si>
  <si>
    <t>I. Hdjar</t>
  </si>
  <si>
    <t>O. PIastri</t>
  </si>
  <si>
    <t>A. Linblad</t>
  </si>
  <si>
    <t>G. Bortoleto</t>
  </si>
  <si>
    <t>I. Hadkar</t>
  </si>
  <si>
    <t xml:space="preserve">O. Piastri </t>
  </si>
  <si>
    <t>Hulkenberg</t>
  </si>
  <si>
    <t>I.Hadjar</t>
  </si>
  <si>
    <t>No One</t>
  </si>
  <si>
    <t>Sainz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</si>
</sst>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.000%"/>
    <numFmt numFmtId="167" formatCode="_(* #,##0.0_);_(* \(#,##0.0\);_(* &quot;-&quot;?_);_(@_)"/>
    <numFmt numFmtId="168" formatCode="0.0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28"/>
      <color theme="0"/>
      <name val="Copperplate"/>
      <family val="1"/>
    </font>
    <font>
      <b/>
      <i/>
      <sz val="18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06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dashDotDot">
        <color rgb="FFC00000"/>
      </left>
      <right style="dashDotDot">
        <color rgb="FFC00000"/>
      </right>
      <top/>
      <bottom/>
      <diagonal/>
    </border>
    <border>
      <left style="dashDotDot">
        <color rgb="FFC00000"/>
      </left>
      <right/>
      <top/>
      <bottom/>
      <diagonal/>
    </border>
    <border>
      <left/>
      <right style="dashDotDot">
        <color rgb="FFC00000"/>
      </right>
      <top/>
      <bottom/>
      <diagonal/>
    </border>
    <border>
      <left style="dashDotDot">
        <color rgb="FFC00000"/>
      </left>
      <right style="dashDotDot">
        <color rgb="FFC00000"/>
      </right>
      <top style="dashDotDot">
        <color rgb="FFC00000"/>
      </top>
      <bottom style="dashDotDot">
        <color rgb="FFC00000"/>
      </bottom>
      <diagonal/>
    </border>
    <border>
      <left style="dashDotDot">
        <color rgb="FFC00000"/>
      </left>
      <right/>
      <top style="dashDotDot">
        <color rgb="FFC00000"/>
      </top>
      <bottom style="dashDotDot">
        <color rgb="FFC00000"/>
      </bottom>
      <diagonal/>
    </border>
    <border>
      <left/>
      <right/>
      <top style="dashDotDot">
        <color rgb="FFC00000"/>
      </top>
      <bottom style="dashDotDot">
        <color rgb="FFC00000"/>
      </bottom>
      <diagonal/>
    </border>
    <border>
      <left style="dashDotDot">
        <color rgb="FFC00000"/>
      </left>
      <right/>
      <top style="dashDotDot">
        <color rgb="FFC00000"/>
      </top>
      <bottom/>
      <diagonal/>
    </border>
    <border>
      <left/>
      <right/>
      <top style="dashDotDot">
        <color rgb="FFC00000"/>
      </top>
      <bottom/>
      <diagonal/>
    </border>
    <border>
      <left/>
      <right style="dashDotDot">
        <color rgb="FFC00000"/>
      </right>
      <top style="dashDotDot">
        <color rgb="FFC00000"/>
      </top>
      <bottom/>
      <diagonal/>
    </border>
    <border>
      <left style="dashDotDot">
        <color rgb="FFC00000"/>
      </left>
      <right style="dashDotDot">
        <color rgb="FFC00000"/>
      </right>
      <top style="dashDotDot">
        <color rgb="FFC00000"/>
      </top>
      <bottom/>
      <diagonal/>
    </border>
    <border>
      <left style="dashDotDot">
        <color rgb="FFC00000"/>
      </left>
      <right/>
      <top/>
      <bottom style="dashDotDot">
        <color rgb="FFC00000"/>
      </bottom>
      <diagonal/>
    </border>
    <border>
      <left/>
      <right/>
      <top/>
      <bottom style="dashDotDot">
        <color rgb="FFC00000"/>
      </bottom>
      <diagonal/>
    </border>
    <border>
      <left/>
      <right style="dashDotDot">
        <color rgb="FFC00000"/>
      </right>
      <top/>
      <bottom style="dashDotDot">
        <color rgb="FFC00000"/>
      </bottom>
      <diagonal/>
    </border>
    <border>
      <left style="dashDotDot">
        <color rgb="FFC00000"/>
      </left>
      <right style="dashDotDot">
        <color rgb="FFC00000"/>
      </right>
      <top/>
      <bottom style="dashDotDot">
        <color rgb="FFC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Alignment="1">
      <alignment horizontal="right"/>
    </xf>
    <xf numFmtId="0" fontId="0" fillId="2" borderId="1" xfId="0" applyFill="1" applyBorder="1"/>
    <xf numFmtId="0" fontId="2" fillId="3" borderId="0" xfId="0" applyFont="1" applyFill="1"/>
    <xf numFmtId="0" fontId="4" fillId="3" borderId="0" xfId="0" applyFont="1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2" xfId="0" applyFill="1" applyBorder="1" applyAlignment="1">
      <alignment horizontal="left"/>
    </xf>
    <xf numFmtId="0" fontId="0" fillId="2" borderId="14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/>
    <xf numFmtId="43" fontId="0" fillId="2" borderId="0" xfId="1" applyFont="1" applyFill="1"/>
    <xf numFmtId="164" fontId="0" fillId="2" borderId="0" xfId="1" applyNumberFormat="1" applyFont="1" applyFill="1"/>
    <xf numFmtId="1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9" fontId="0" fillId="2" borderId="0" xfId="0" applyNumberFormat="1" applyFill="1"/>
    <xf numFmtId="164" fontId="0" fillId="2" borderId="0" xfId="0" applyNumberFormat="1" applyFill="1"/>
    <xf numFmtId="43" fontId="0" fillId="2" borderId="0" xfId="0" applyNumberFormat="1" applyFill="1"/>
    <xf numFmtId="167" fontId="0" fillId="2" borderId="0" xfId="0" applyNumberFormat="1" applyFill="1"/>
    <xf numFmtId="0" fontId="6" fillId="5" borderId="7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left"/>
    </xf>
    <xf numFmtId="0" fontId="6" fillId="5" borderId="9" xfId="0" applyFont="1" applyFill="1" applyBorder="1"/>
    <xf numFmtId="0" fontId="6" fillId="5" borderId="13" xfId="0" applyFont="1" applyFill="1" applyBorder="1"/>
    <xf numFmtId="0" fontId="6" fillId="5" borderId="11" xfId="0" applyFont="1" applyFill="1" applyBorder="1" applyAlignment="1">
      <alignment horizontal="center"/>
    </xf>
    <xf numFmtId="0" fontId="0" fillId="5" borderId="5" xfId="0" applyFill="1" applyBorder="1" applyAlignment="1">
      <alignment horizontal="right"/>
    </xf>
    <xf numFmtId="0" fontId="3" fillId="5" borderId="6" xfId="0" applyFont="1" applyFill="1" applyBorder="1" applyAlignment="1">
      <alignment horizontal="right"/>
    </xf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0" fillId="5" borderId="4" xfId="0" applyFill="1" applyBorder="1"/>
    <xf numFmtId="8" fontId="0" fillId="2" borderId="0" xfId="0" applyNumberFormat="1" applyFill="1"/>
    <xf numFmtId="164" fontId="0" fillId="5" borderId="4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8" fontId="0" fillId="2" borderId="0" xfId="0" applyNumberFormat="1" applyFill="1"/>
    <xf numFmtId="16" fontId="0" fillId="2" borderId="0" xfId="0" applyNumberFormat="1" applyFill="1"/>
    <xf numFmtId="0" fontId="6" fillId="5" borderId="11" xfId="0" applyFont="1" applyFill="1" applyBorder="1" applyAlignment="1">
      <alignment horizontal="left"/>
    </xf>
    <xf numFmtId="0" fontId="6" fillId="5" borderId="12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C3D2A"/>
      <color rgb="FFFF1801"/>
      <color rgb="FFDB0605"/>
      <color rgb="FFD40605"/>
      <color rgb="FFD80605"/>
      <color rgb="FFDC0605"/>
      <color rgb="FFE50000"/>
      <color rgb="FFD50001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72391</xdr:colOff>
      <xdr:row>3</xdr:row>
      <xdr:rowOff>19050</xdr:rowOff>
    </xdr:from>
    <xdr:to>
      <xdr:col>12</xdr:col>
      <xdr:colOff>448311</xdr:colOff>
      <xdr:row>5</xdr:row>
      <xdr:rowOff>199898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5DAD3-FECC-7E49-BEBA-F36FECDF6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9191" y="628650"/>
          <a:ext cx="2110740" cy="841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EF8B-1807-6A4D-816D-9F5F5397C0F6}">
  <sheetPr>
    <pageSetUpPr fitToPage="1"/>
  </sheetPr>
  <dimension ref="A1:X636"/>
  <sheetViews>
    <sheetView tabSelected="1" topLeftCell="A257" zoomScale="125" zoomScaleNormal="125" workbookViewId="0">
      <selection activeCell="L345" sqref="L345"/>
    </sheetView>
  </sheetViews>
  <sheetFormatPr baseColWidth="10" defaultRowHeight="16" x14ac:dyDescent="0.2"/>
  <cols>
    <col min="1" max="1" width="2" customWidth="1"/>
    <col min="2" max="2" width="7" customWidth="1"/>
    <col min="3" max="3" width="7.5" customWidth="1"/>
    <col min="4" max="4" width="32.6640625" bestFit="1" customWidth="1"/>
    <col min="5" max="5" width="6.33203125" bestFit="1" customWidth="1"/>
    <col min="6" max="6" width="15.6640625" customWidth="1"/>
    <col min="7" max="7" width="6.33203125" bestFit="1" customWidth="1"/>
    <col min="8" max="8" width="15.6640625" customWidth="1"/>
    <col min="9" max="9" width="9.83203125" bestFit="1" customWidth="1"/>
    <col min="10" max="10" width="15.6640625" customWidth="1"/>
    <col min="11" max="11" width="7.33203125" bestFit="1" customWidth="1"/>
    <col min="12" max="12" width="15.5" customWidth="1"/>
    <col min="13" max="13" width="7.1640625" bestFit="1" customWidth="1"/>
    <col min="14" max="14" width="17.33203125" customWidth="1"/>
    <col min="15" max="15" width="14.5" bestFit="1" customWidth="1"/>
    <col min="16" max="16" width="15.6640625" bestFit="1" customWidth="1"/>
    <col min="17" max="17" width="12.5" bestFit="1" customWidth="1"/>
    <col min="18" max="18" width="5.6640625" customWidth="1"/>
    <col min="19" max="19" width="12.6640625" customWidth="1"/>
    <col min="20" max="20" width="14.5" bestFit="1" customWidth="1"/>
    <col min="24" max="24" width="13.6640625" customWidth="1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2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ht="36" x14ac:dyDescent="0.4">
      <c r="A5" s="1"/>
      <c r="B5" s="7"/>
      <c r="C5" s="8" t="s">
        <v>25</v>
      </c>
      <c r="D5" s="8"/>
      <c r="E5" s="7"/>
      <c r="F5" s="7"/>
      <c r="G5" s="7"/>
      <c r="H5" s="7"/>
      <c r="I5" s="7"/>
      <c r="J5" s="7"/>
      <c r="K5" s="7"/>
      <c r="L5" s="7"/>
      <c r="M5" s="7"/>
      <c r="N5" s="1"/>
      <c r="O5" s="1"/>
      <c r="P5" s="1"/>
      <c r="Q5" s="1"/>
      <c r="R5" s="1"/>
      <c r="S5" s="1"/>
      <c r="T5" s="23"/>
      <c r="U5" s="1"/>
      <c r="V5" s="1"/>
      <c r="W5" s="1"/>
    </row>
    <row r="6" spans="1:24" x14ac:dyDescent="0.2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"/>
      <c r="O6" s="1"/>
      <c r="P6" s="1"/>
      <c r="Q6" s="1"/>
      <c r="R6" s="1"/>
      <c r="S6" s="1"/>
      <c r="T6" s="23"/>
      <c r="U6" s="1"/>
      <c r="V6" s="1"/>
      <c r="W6" s="1"/>
    </row>
    <row r="7" spans="1:24" x14ac:dyDescent="0.2">
      <c r="A7" s="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1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" x14ac:dyDescent="0.3">
      <c r="A9" s="1"/>
      <c r="B9" s="53" t="s">
        <v>26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1"/>
      <c r="O9" s="30"/>
      <c r="P9" s="24"/>
      <c r="Q9" s="24"/>
      <c r="R9" s="1"/>
      <c r="S9" s="30"/>
      <c r="T9" s="24"/>
      <c r="U9" s="24"/>
      <c r="V9" s="1"/>
      <c r="W9" s="1"/>
      <c r="X9" s="1"/>
    </row>
    <row r="10" spans="1:24" ht="19" x14ac:dyDescent="0.25">
      <c r="A10" s="1"/>
      <c r="B10" s="34"/>
      <c r="C10" s="35"/>
      <c r="D10" s="35"/>
      <c r="E10" s="36"/>
      <c r="F10" s="51" t="s">
        <v>0</v>
      </c>
      <c r="G10" s="52"/>
      <c r="H10" s="51" t="s">
        <v>1</v>
      </c>
      <c r="I10" s="52"/>
      <c r="J10" s="51" t="s">
        <v>2</v>
      </c>
      <c r="K10" s="52"/>
      <c r="L10" s="51" t="s">
        <v>3</v>
      </c>
      <c r="M10" s="52"/>
      <c r="N10" s="1"/>
      <c r="O10" s="1"/>
      <c r="P10" s="24"/>
      <c r="Q10" s="24"/>
      <c r="R10" s="1"/>
      <c r="S10" s="1"/>
      <c r="T10" s="24"/>
      <c r="U10" s="24"/>
      <c r="V10" s="1"/>
      <c r="W10" s="1"/>
      <c r="X10" s="1"/>
    </row>
    <row r="11" spans="1:24" ht="19" x14ac:dyDescent="0.25">
      <c r="A11" s="1"/>
      <c r="B11" s="49" t="s">
        <v>7</v>
      </c>
      <c r="C11" s="50"/>
      <c r="D11" s="50"/>
      <c r="E11" s="37" t="s">
        <v>6</v>
      </c>
      <c r="F11" s="38" t="s">
        <v>7</v>
      </c>
      <c r="G11" s="37" t="s">
        <v>6</v>
      </c>
      <c r="H11" s="38" t="s">
        <v>7</v>
      </c>
      <c r="I11" s="37" t="s">
        <v>6</v>
      </c>
      <c r="J11" s="38" t="s">
        <v>7</v>
      </c>
      <c r="K11" s="37" t="s">
        <v>6</v>
      </c>
      <c r="L11" s="38" t="s">
        <v>7</v>
      </c>
      <c r="M11" s="37" t="s">
        <v>6</v>
      </c>
      <c r="N11" s="1"/>
      <c r="O11" s="1"/>
      <c r="P11" s="24"/>
      <c r="Q11" s="24"/>
      <c r="R11" s="1"/>
      <c r="S11" s="1"/>
      <c r="T11" s="24"/>
      <c r="U11" s="24"/>
      <c r="V11" s="1"/>
      <c r="W11" s="1"/>
      <c r="X11" s="1"/>
    </row>
    <row r="12" spans="1:24" x14ac:dyDescent="0.2">
      <c r="A12" s="1"/>
      <c r="B12" s="9"/>
      <c r="C12" s="10"/>
      <c r="D12" s="11"/>
      <c r="E12" s="12"/>
      <c r="F12" s="13"/>
      <c r="G12" s="12"/>
      <c r="H12" s="13"/>
      <c r="I12" s="12"/>
      <c r="J12" s="13"/>
      <c r="K12" s="12"/>
      <c r="L12" s="14"/>
      <c r="M12" s="12"/>
      <c r="N12" s="1"/>
      <c r="O12" s="1"/>
      <c r="P12" s="24"/>
      <c r="Q12" s="24"/>
      <c r="R12" s="1"/>
      <c r="S12" s="1"/>
      <c r="T12" s="24"/>
      <c r="U12" s="24"/>
      <c r="V12" s="1"/>
      <c r="W12" s="1"/>
      <c r="X12" s="1"/>
    </row>
    <row r="13" spans="1:24" x14ac:dyDescent="0.2">
      <c r="A13" s="1"/>
      <c r="B13" s="5"/>
      <c r="C13" s="2">
        <v>1</v>
      </c>
      <c r="D13" s="4" t="s">
        <v>12</v>
      </c>
      <c r="E13" s="21">
        <v>25</v>
      </c>
      <c r="F13" s="3" t="s">
        <v>8</v>
      </c>
      <c r="G13" s="21">
        <f t="shared" ref="G13:G23" si="0">IF(F13=$D13,$E13,0)</f>
        <v>0</v>
      </c>
      <c r="H13" s="3" t="s">
        <v>21</v>
      </c>
      <c r="I13" s="21">
        <f t="shared" ref="I13:I24" si="1">IF(H13=$D13,$E13,0)</f>
        <v>0</v>
      </c>
      <c r="J13" s="3" t="s">
        <v>12</v>
      </c>
      <c r="K13" s="21">
        <f>IF(J13=$D13,$E13,0)</f>
        <v>25</v>
      </c>
      <c r="L13" s="3" t="s">
        <v>12</v>
      </c>
      <c r="M13" s="22">
        <f>IF(L13=$D13,$E13,0)</f>
        <v>25</v>
      </c>
      <c r="N13" s="1"/>
      <c r="O13" s="1"/>
      <c r="P13" s="24"/>
      <c r="Q13" s="24"/>
      <c r="R13" s="1"/>
      <c r="S13" s="1"/>
      <c r="T13" s="24"/>
      <c r="U13" s="24"/>
      <c r="V13" s="1"/>
      <c r="W13" s="32"/>
      <c r="X13" s="1"/>
    </row>
    <row r="14" spans="1:24" x14ac:dyDescent="0.2">
      <c r="A14" s="1"/>
      <c r="B14" s="5"/>
      <c r="C14" s="2">
        <v>2</v>
      </c>
      <c r="D14" s="4" t="s">
        <v>21</v>
      </c>
      <c r="E14" s="21">
        <v>18</v>
      </c>
      <c r="F14" s="3" t="s">
        <v>12</v>
      </c>
      <c r="G14" s="21">
        <f t="shared" si="0"/>
        <v>0</v>
      </c>
      <c r="H14" s="3" t="s">
        <v>12</v>
      </c>
      <c r="I14" s="21">
        <f t="shared" si="1"/>
        <v>0</v>
      </c>
      <c r="J14" s="3" t="s">
        <v>21</v>
      </c>
      <c r="K14" s="21">
        <f t="shared" ref="K14:M23" si="2">IF(J14=$D14,$E14,0)</f>
        <v>18</v>
      </c>
      <c r="L14" s="3" t="s">
        <v>21</v>
      </c>
      <c r="M14" s="22">
        <f t="shared" si="2"/>
        <v>18</v>
      </c>
      <c r="N14" s="1"/>
      <c r="O14" s="1"/>
      <c r="P14" s="24"/>
      <c r="Q14" s="24"/>
      <c r="R14" s="1"/>
      <c r="S14" s="1"/>
      <c r="T14" s="24"/>
      <c r="U14" s="24"/>
      <c r="V14" s="1"/>
      <c r="W14" s="32"/>
      <c r="X14" s="1"/>
    </row>
    <row r="15" spans="1:24" x14ac:dyDescent="0.2">
      <c r="A15" s="1"/>
      <c r="B15" s="5"/>
      <c r="C15" s="2">
        <v>3</v>
      </c>
      <c r="D15" s="4" t="s">
        <v>9</v>
      </c>
      <c r="E15" s="21">
        <v>15</v>
      </c>
      <c r="F15" s="3" t="s">
        <v>21</v>
      </c>
      <c r="G15" s="21">
        <f t="shared" si="0"/>
        <v>0</v>
      </c>
      <c r="H15" s="3" t="s">
        <v>9</v>
      </c>
      <c r="I15" s="21">
        <f t="shared" si="1"/>
        <v>15</v>
      </c>
      <c r="J15" s="3" t="s">
        <v>18</v>
      </c>
      <c r="K15" s="21">
        <f t="shared" si="2"/>
        <v>0</v>
      </c>
      <c r="L15" s="3" t="s">
        <v>9</v>
      </c>
      <c r="M15" s="22">
        <f t="shared" si="2"/>
        <v>15</v>
      </c>
      <c r="N15" s="1"/>
      <c r="O15" s="1"/>
      <c r="P15" s="24"/>
      <c r="Q15" s="24"/>
      <c r="R15" s="1"/>
      <c r="S15" s="1"/>
      <c r="T15" s="24"/>
      <c r="U15" s="24"/>
      <c r="V15" s="1"/>
      <c r="W15" s="1"/>
      <c r="X15" s="1"/>
    </row>
    <row r="16" spans="1:24" x14ac:dyDescent="0.2">
      <c r="A16" s="1"/>
      <c r="B16" s="5"/>
      <c r="C16" s="2">
        <v>4</v>
      </c>
      <c r="D16" s="4" t="s">
        <v>10</v>
      </c>
      <c r="E16" s="21">
        <v>12</v>
      </c>
      <c r="F16" s="3" t="s">
        <v>18</v>
      </c>
      <c r="G16" s="21">
        <f t="shared" si="0"/>
        <v>0</v>
      </c>
      <c r="H16" s="3" t="s">
        <v>18</v>
      </c>
      <c r="I16" s="21">
        <f t="shared" si="1"/>
        <v>0</v>
      </c>
      <c r="J16" s="3" t="s">
        <v>9</v>
      </c>
      <c r="K16" s="21">
        <f t="shared" si="2"/>
        <v>0</v>
      </c>
      <c r="L16" s="3" t="s">
        <v>18</v>
      </c>
      <c r="M16" s="22">
        <f t="shared" si="2"/>
        <v>0</v>
      </c>
      <c r="N16" s="1"/>
      <c r="O16" s="1"/>
      <c r="P16" s="24"/>
      <c r="Q16" s="24"/>
      <c r="R16" s="1"/>
      <c r="S16" s="1"/>
      <c r="T16" s="24"/>
      <c r="U16" s="24"/>
      <c r="V16" s="1"/>
      <c r="W16" s="1"/>
      <c r="X16" s="1"/>
    </row>
    <row r="17" spans="1:24" x14ac:dyDescent="0.2">
      <c r="A17" s="1"/>
      <c r="B17" s="5"/>
      <c r="C17" s="2">
        <v>5</v>
      </c>
      <c r="D17" s="4" t="s">
        <v>14</v>
      </c>
      <c r="E17" s="21">
        <v>10</v>
      </c>
      <c r="F17" s="3" t="s">
        <v>9</v>
      </c>
      <c r="G17" s="21">
        <f t="shared" si="0"/>
        <v>0</v>
      </c>
      <c r="H17" s="3" t="s">
        <v>22</v>
      </c>
      <c r="I17" s="21">
        <f t="shared" si="1"/>
        <v>0</v>
      </c>
      <c r="J17" s="3" t="s">
        <v>14</v>
      </c>
      <c r="K17" s="21">
        <f t="shared" si="2"/>
        <v>10</v>
      </c>
      <c r="L17" s="3" t="s">
        <v>22</v>
      </c>
      <c r="M17" s="22">
        <f t="shared" si="2"/>
        <v>0</v>
      </c>
      <c r="N17" s="1"/>
      <c r="O17" s="1"/>
      <c r="P17" s="24"/>
      <c r="Q17" s="24"/>
      <c r="R17" s="1"/>
      <c r="S17" s="1"/>
      <c r="T17" s="24"/>
      <c r="U17" s="24"/>
      <c r="V17" s="1"/>
      <c r="W17" s="1"/>
      <c r="X17" s="1"/>
    </row>
    <row r="18" spans="1:24" x14ac:dyDescent="0.2">
      <c r="A18" s="1"/>
      <c r="B18" s="5"/>
      <c r="C18" s="2">
        <v>6</v>
      </c>
      <c r="D18" s="4" t="s">
        <v>8</v>
      </c>
      <c r="E18" s="21">
        <v>8</v>
      </c>
      <c r="F18" s="3" t="s">
        <v>14</v>
      </c>
      <c r="G18" s="21">
        <f t="shared" si="0"/>
        <v>0</v>
      </c>
      <c r="H18" s="3" t="s">
        <v>8</v>
      </c>
      <c r="I18" s="21">
        <f t="shared" si="1"/>
        <v>8</v>
      </c>
      <c r="J18" s="3" t="s">
        <v>58</v>
      </c>
      <c r="K18" s="21">
        <f t="shared" si="2"/>
        <v>0</v>
      </c>
      <c r="L18" s="3" t="s">
        <v>10</v>
      </c>
      <c r="M18" s="22">
        <f t="shared" si="2"/>
        <v>0</v>
      </c>
      <c r="N18" s="1"/>
      <c r="O18" s="1"/>
      <c r="P18" s="24"/>
      <c r="Q18" s="24"/>
      <c r="R18" s="1"/>
      <c r="S18" s="1"/>
      <c r="T18" s="24"/>
      <c r="U18" s="24"/>
      <c r="V18" s="1"/>
      <c r="W18" s="1"/>
      <c r="X18" s="1"/>
    </row>
    <row r="19" spans="1:24" x14ac:dyDescent="0.2">
      <c r="A19" s="1"/>
      <c r="B19" s="5"/>
      <c r="C19" s="2">
        <v>7</v>
      </c>
      <c r="D19" s="4" t="s">
        <v>20</v>
      </c>
      <c r="E19" s="21">
        <v>6</v>
      </c>
      <c r="F19" s="3" t="s">
        <v>10</v>
      </c>
      <c r="G19" s="21">
        <f t="shared" si="0"/>
        <v>0</v>
      </c>
      <c r="H19" s="3" t="s">
        <v>14</v>
      </c>
      <c r="I19" s="21">
        <f t="shared" si="1"/>
        <v>0</v>
      </c>
      <c r="J19" s="3" t="s">
        <v>22</v>
      </c>
      <c r="K19" s="21">
        <f t="shared" si="2"/>
        <v>0</v>
      </c>
      <c r="L19" s="3" t="s">
        <v>14</v>
      </c>
      <c r="M19" s="22">
        <f t="shared" si="2"/>
        <v>0</v>
      </c>
      <c r="N19" s="1"/>
      <c r="O19" s="1"/>
      <c r="P19" s="28"/>
      <c r="Q19" s="28"/>
      <c r="R19" s="28"/>
      <c r="S19" s="28"/>
      <c r="T19" s="28"/>
      <c r="U19" s="28"/>
      <c r="V19" s="28"/>
      <c r="W19" s="28"/>
      <c r="X19" s="1"/>
    </row>
    <row r="20" spans="1:24" x14ac:dyDescent="0.2">
      <c r="A20" s="1"/>
      <c r="B20" s="5"/>
      <c r="C20" s="2">
        <v>8</v>
      </c>
      <c r="D20" s="4" t="s">
        <v>55</v>
      </c>
      <c r="E20" s="21">
        <v>4</v>
      </c>
      <c r="F20" s="3" t="s">
        <v>22</v>
      </c>
      <c r="G20" s="21">
        <f t="shared" si="0"/>
        <v>0</v>
      </c>
      <c r="H20" s="3" t="s">
        <v>10</v>
      </c>
      <c r="I20" s="21">
        <f t="shared" si="1"/>
        <v>0</v>
      </c>
      <c r="J20" s="3" t="s">
        <v>8</v>
      </c>
      <c r="K20" s="21">
        <f t="shared" si="2"/>
        <v>0</v>
      </c>
      <c r="L20" s="3" t="s">
        <v>8</v>
      </c>
      <c r="M20" s="22">
        <f t="shared" si="2"/>
        <v>0</v>
      </c>
      <c r="N20" s="1"/>
      <c r="O20" s="1"/>
      <c r="P20" s="26"/>
      <c r="Q20" s="24"/>
      <c r="R20" s="25"/>
      <c r="S20" s="25"/>
      <c r="T20" s="27"/>
      <c r="U20" s="27"/>
      <c r="V20" s="1"/>
      <c r="W20" s="1"/>
      <c r="X20" s="1"/>
    </row>
    <row r="21" spans="1:24" x14ac:dyDescent="0.2">
      <c r="A21" s="1"/>
      <c r="B21" s="5"/>
      <c r="C21" s="2">
        <v>9</v>
      </c>
      <c r="D21" s="4" t="s">
        <v>23</v>
      </c>
      <c r="E21" s="21">
        <v>2</v>
      </c>
      <c r="F21" s="3" t="s">
        <v>59</v>
      </c>
      <c r="G21" s="21">
        <f t="shared" si="0"/>
        <v>0</v>
      </c>
      <c r="H21" s="3" t="s">
        <v>59</v>
      </c>
      <c r="I21" s="21">
        <f t="shared" si="1"/>
        <v>0</v>
      </c>
      <c r="J21" s="3" t="s">
        <v>59</v>
      </c>
      <c r="K21" s="21">
        <f t="shared" si="2"/>
        <v>0</v>
      </c>
      <c r="L21" s="3" t="s">
        <v>59</v>
      </c>
      <c r="M21" s="22">
        <f t="shared" si="2"/>
        <v>0</v>
      </c>
      <c r="N21" s="1"/>
      <c r="O21" s="1"/>
      <c r="P21" s="26"/>
      <c r="Q21" s="24"/>
      <c r="R21" s="25"/>
      <c r="S21" s="25"/>
      <c r="T21" s="27"/>
      <c r="U21" s="24"/>
      <c r="V21" s="1"/>
      <c r="W21" s="1"/>
      <c r="X21" s="1"/>
    </row>
    <row r="22" spans="1:24" x14ac:dyDescent="0.2">
      <c r="A22" s="1"/>
      <c r="B22" s="5"/>
      <c r="C22" s="2">
        <v>10</v>
      </c>
      <c r="D22" s="4" t="s">
        <v>56</v>
      </c>
      <c r="E22" s="21">
        <v>1</v>
      </c>
      <c r="F22" s="3" t="s">
        <v>13</v>
      </c>
      <c r="G22" s="21">
        <f t="shared" si="0"/>
        <v>0</v>
      </c>
      <c r="H22" s="3" t="s">
        <v>17</v>
      </c>
      <c r="I22" s="21">
        <f t="shared" si="1"/>
        <v>0</v>
      </c>
      <c r="J22" s="3" t="s">
        <v>55</v>
      </c>
      <c r="K22" s="21">
        <f t="shared" si="2"/>
        <v>0</v>
      </c>
      <c r="L22" s="6" t="s">
        <v>17</v>
      </c>
      <c r="M22" s="22">
        <f t="shared" si="2"/>
        <v>0</v>
      </c>
      <c r="N22" s="1"/>
      <c r="O22" s="1"/>
      <c r="P22" s="24"/>
      <c r="Q22" s="24"/>
      <c r="R22" s="25"/>
      <c r="S22" s="25"/>
      <c r="T22" s="27"/>
      <c r="U22" s="27"/>
      <c r="V22" s="1"/>
      <c r="W22" s="1"/>
      <c r="X22" s="1"/>
    </row>
    <row r="23" spans="1:24" x14ac:dyDescent="0.2">
      <c r="A23" s="1"/>
      <c r="B23" s="19"/>
      <c r="C23" s="2" t="s">
        <v>4</v>
      </c>
      <c r="D23" s="4" t="s">
        <v>8</v>
      </c>
      <c r="E23" s="21">
        <v>1</v>
      </c>
      <c r="F23" s="3" t="s">
        <v>8</v>
      </c>
      <c r="G23" s="21">
        <f t="shared" si="0"/>
        <v>1</v>
      </c>
      <c r="H23" s="3" t="s">
        <v>8</v>
      </c>
      <c r="I23" s="21">
        <f t="shared" si="1"/>
        <v>1</v>
      </c>
      <c r="J23" s="3" t="s">
        <v>12</v>
      </c>
      <c r="K23" s="21">
        <f t="shared" si="2"/>
        <v>0</v>
      </c>
      <c r="L23" s="3" t="s">
        <v>12</v>
      </c>
      <c r="M23" s="21">
        <f t="shared" si="2"/>
        <v>0</v>
      </c>
      <c r="N23" s="1"/>
      <c r="O23" s="1"/>
      <c r="P23" s="24"/>
      <c r="Q23" s="24"/>
      <c r="R23" s="1"/>
      <c r="S23" s="1"/>
      <c r="T23" s="1"/>
      <c r="U23" s="1"/>
      <c r="V23" s="1"/>
      <c r="W23" s="1"/>
      <c r="X23" s="1"/>
    </row>
    <row r="24" spans="1:24" x14ac:dyDescent="0.2">
      <c r="A24" s="1"/>
      <c r="B24" s="19"/>
      <c r="C24" s="1" t="s">
        <v>19</v>
      </c>
      <c r="D24" s="4" t="s">
        <v>57</v>
      </c>
      <c r="E24" s="46">
        <v>10</v>
      </c>
      <c r="F24" s="3" t="s">
        <v>61</v>
      </c>
      <c r="G24" s="21">
        <f>IF(F24=$D24,$E24,0)</f>
        <v>0</v>
      </c>
      <c r="H24" s="3" t="s">
        <v>61</v>
      </c>
      <c r="I24" s="21">
        <f t="shared" si="1"/>
        <v>0</v>
      </c>
      <c r="J24" s="3" t="s">
        <v>60</v>
      </c>
      <c r="K24" s="21">
        <f>IF(J24=$D24,$E24,0)+10</f>
        <v>10</v>
      </c>
      <c r="L24" s="3" t="s">
        <v>60</v>
      </c>
      <c r="M24" s="21">
        <f>IF(L24=$D24,$E24,0)+10</f>
        <v>10</v>
      </c>
      <c r="N24" s="1"/>
      <c r="O24" s="1"/>
      <c r="P24" s="31"/>
      <c r="Q24" s="31"/>
      <c r="R24" s="1"/>
      <c r="S24" s="1"/>
      <c r="T24" s="1"/>
      <c r="U24" s="1"/>
      <c r="V24" s="1"/>
      <c r="W24" s="1"/>
      <c r="X24" s="1"/>
    </row>
    <row r="25" spans="1:24" x14ac:dyDescent="0.2">
      <c r="A25" s="1"/>
      <c r="B25" s="15"/>
      <c r="C25" s="16"/>
      <c r="D25" s="17"/>
      <c r="E25" s="20"/>
      <c r="F25" s="15"/>
      <c r="G25" s="20"/>
      <c r="H25" s="15"/>
      <c r="I25" s="20"/>
      <c r="J25" s="15"/>
      <c r="K25" s="20"/>
      <c r="L25" s="18"/>
      <c r="M25" s="20"/>
      <c r="N25" s="1"/>
      <c r="O25" s="1"/>
      <c r="P25" s="24"/>
      <c r="Q25" s="24"/>
      <c r="R25" s="1"/>
      <c r="S25" s="1"/>
      <c r="T25" s="24"/>
      <c r="U25" s="1"/>
      <c r="V25" s="1"/>
      <c r="W25" s="1"/>
      <c r="X25" s="1"/>
    </row>
    <row r="26" spans="1:24" x14ac:dyDescent="0.2">
      <c r="A26" s="1"/>
      <c r="B26" s="39"/>
      <c r="C26" s="40"/>
      <c r="D26" s="40" t="s">
        <v>16</v>
      </c>
      <c r="E26" s="41"/>
      <c r="F26" s="42"/>
      <c r="G26" s="41">
        <f>SUM(G13:G24)</f>
        <v>1</v>
      </c>
      <c r="H26" s="42"/>
      <c r="I26" s="41">
        <f>SUM(I13:I24)</f>
        <v>24</v>
      </c>
      <c r="J26" s="42"/>
      <c r="K26" s="41">
        <f>SUM(K13:K24)</f>
        <v>63</v>
      </c>
      <c r="L26" s="43"/>
      <c r="M26" s="41">
        <f>SUM(M13:M24)</f>
        <v>68</v>
      </c>
      <c r="N26" s="1"/>
      <c r="O26" s="1"/>
      <c r="P26" s="31"/>
      <c r="Q26" s="31"/>
      <c r="R26" s="31"/>
      <c r="S26" s="1"/>
      <c r="T26" s="31"/>
      <c r="U26" s="1"/>
      <c r="V26" s="1"/>
      <c r="W26" s="1"/>
      <c r="X26" s="1"/>
    </row>
    <row r="27" spans="1:24" x14ac:dyDescent="0.2">
      <c r="A27" s="1"/>
      <c r="B27" s="39"/>
      <c r="C27" s="40"/>
      <c r="D27" s="40" t="s">
        <v>5</v>
      </c>
      <c r="E27" s="41"/>
      <c r="F27" s="42"/>
      <c r="G27" s="41">
        <f>G26</f>
        <v>1</v>
      </c>
      <c r="H27" s="42"/>
      <c r="I27" s="41">
        <f>I26</f>
        <v>24</v>
      </c>
      <c r="J27" s="42"/>
      <c r="K27" s="41">
        <f>K26</f>
        <v>63</v>
      </c>
      <c r="L27" s="43"/>
      <c r="M27" s="41">
        <f>M26</f>
        <v>68</v>
      </c>
      <c r="N27" s="1"/>
      <c r="O27" s="1"/>
      <c r="P27" s="1"/>
      <c r="Q27" s="1"/>
      <c r="R27" s="1"/>
      <c r="S27" s="1"/>
      <c r="T27" s="31"/>
      <c r="U27" s="1"/>
      <c r="V27" s="1"/>
      <c r="W27" s="1"/>
      <c r="X27" s="1"/>
    </row>
    <row r="28" spans="1:2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4" x14ac:dyDescent="0.3">
      <c r="A29" s="1"/>
      <c r="B29" s="53" t="s">
        <v>27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1"/>
      <c r="O29" s="1"/>
      <c r="P29" s="31"/>
      <c r="Q29" s="1"/>
      <c r="R29" s="1"/>
      <c r="S29" s="1"/>
      <c r="T29" s="1"/>
      <c r="U29" s="1"/>
      <c r="V29" s="1"/>
      <c r="W29" s="1"/>
      <c r="X29" s="1"/>
    </row>
    <row r="30" spans="1:24" ht="19" x14ac:dyDescent="0.25">
      <c r="A30" s="1"/>
      <c r="B30" s="34"/>
      <c r="C30" s="35"/>
      <c r="D30" s="35"/>
      <c r="E30" s="36"/>
      <c r="F30" s="51" t="s">
        <v>0</v>
      </c>
      <c r="G30" s="52"/>
      <c r="H30" s="51" t="s">
        <v>1</v>
      </c>
      <c r="I30" s="52"/>
      <c r="J30" s="51" t="s">
        <v>2</v>
      </c>
      <c r="K30" s="52"/>
      <c r="L30" s="51" t="s">
        <v>3</v>
      </c>
      <c r="M30" s="52"/>
      <c r="N30" s="1"/>
      <c r="O30" s="1"/>
      <c r="P30" s="33"/>
      <c r="Q30" s="1"/>
      <c r="R30" s="1"/>
      <c r="S30" s="1"/>
      <c r="T30" s="1"/>
      <c r="U30" s="1"/>
      <c r="V30" s="1"/>
      <c r="W30" s="1"/>
      <c r="X30" s="1"/>
    </row>
    <row r="31" spans="1:24" ht="19" x14ac:dyDescent="0.25">
      <c r="A31" s="1"/>
      <c r="B31" s="49" t="s">
        <v>7</v>
      </c>
      <c r="C31" s="50"/>
      <c r="D31" s="50"/>
      <c r="E31" s="37" t="s">
        <v>6</v>
      </c>
      <c r="F31" s="38" t="s">
        <v>7</v>
      </c>
      <c r="G31" s="37" t="s">
        <v>6</v>
      </c>
      <c r="H31" s="38" t="s">
        <v>7</v>
      </c>
      <c r="I31" s="37" t="s">
        <v>6</v>
      </c>
      <c r="J31" s="38" t="s">
        <v>7</v>
      </c>
      <c r="K31" s="37" t="s">
        <v>6</v>
      </c>
      <c r="L31" s="38" t="s">
        <v>7</v>
      </c>
      <c r="M31" s="37" t="s">
        <v>6</v>
      </c>
      <c r="N31" s="1"/>
      <c r="O31" s="1"/>
      <c r="P31" s="1"/>
      <c r="Q31" s="1"/>
      <c r="R31" s="1"/>
      <c r="S31" s="1"/>
      <c r="T31" s="1"/>
      <c r="U31" s="1"/>
      <c r="V31" s="1"/>
      <c r="X31" s="1"/>
    </row>
    <row r="32" spans="1:24" x14ac:dyDescent="0.2">
      <c r="A32" s="1"/>
      <c r="B32" s="9"/>
      <c r="C32" s="10"/>
      <c r="D32" s="11"/>
      <c r="E32" s="12"/>
      <c r="F32" s="13"/>
      <c r="G32" s="12"/>
      <c r="H32" s="13"/>
      <c r="I32" s="12"/>
      <c r="J32" s="13"/>
      <c r="K32" s="12"/>
      <c r="L32" s="14"/>
      <c r="M32" s="12"/>
      <c r="N32" s="1"/>
      <c r="O32" s="1"/>
      <c r="P32" s="1"/>
      <c r="Q32" s="1"/>
      <c r="R32" s="1"/>
      <c r="S32" s="1"/>
      <c r="T32" s="1"/>
      <c r="U32" s="1"/>
      <c r="V32" s="1"/>
      <c r="X32" s="1"/>
    </row>
    <row r="33" spans="1:22" x14ac:dyDescent="0.2">
      <c r="A33" s="1"/>
      <c r="B33" s="5"/>
      <c r="C33" s="2">
        <v>1</v>
      </c>
      <c r="D33" s="4" t="s">
        <v>12</v>
      </c>
      <c r="E33" s="46">
        <v>8</v>
      </c>
      <c r="F33" s="3" t="s">
        <v>12</v>
      </c>
      <c r="G33" s="21">
        <f>IF(F33=$D33,$E33,0)</f>
        <v>8</v>
      </c>
      <c r="H33" s="3" t="s">
        <v>21</v>
      </c>
      <c r="I33" s="21">
        <f>IF(H33=$D33,$E33,0)</f>
        <v>0</v>
      </c>
      <c r="J33" s="3" t="s">
        <v>12</v>
      </c>
      <c r="K33" s="21">
        <f>IF(J33=$D33,$E33,0)</f>
        <v>8</v>
      </c>
      <c r="L33" s="3" t="s">
        <v>12</v>
      </c>
      <c r="M33" s="22">
        <f>IF(L33=$D33,$E33,0)</f>
        <v>8</v>
      </c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1"/>
      <c r="B34" s="5"/>
      <c r="C34" s="2">
        <v>2</v>
      </c>
      <c r="D34" s="4" t="s">
        <v>9</v>
      </c>
      <c r="E34" s="46">
        <v>7</v>
      </c>
      <c r="F34" s="3" t="s">
        <v>21</v>
      </c>
      <c r="G34" s="21">
        <f t="shared" ref="G34:G40" si="3">IF(F34=$D34,$E34,0)</f>
        <v>0</v>
      </c>
      <c r="H34" s="3" t="s">
        <v>12</v>
      </c>
      <c r="I34" s="21">
        <f t="shared" ref="I34:I40" si="4">IF(H34=$D34,$E34,0)</f>
        <v>0</v>
      </c>
      <c r="J34" s="3" t="s">
        <v>21</v>
      </c>
      <c r="K34" s="21">
        <f t="shared" ref="K34:K40" si="5">IF(J34=$D34,$E34,0)</f>
        <v>0</v>
      </c>
      <c r="L34" s="3" t="s">
        <v>21</v>
      </c>
      <c r="M34" s="22">
        <f t="shared" ref="M34:M40" si="6">IF(L34=$D34,$E34,0)</f>
        <v>0</v>
      </c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1"/>
      <c r="B35" s="5"/>
      <c r="C35" s="2">
        <v>3</v>
      </c>
      <c r="D35" s="4" t="s">
        <v>10</v>
      </c>
      <c r="E35" s="46">
        <v>6</v>
      </c>
      <c r="F35" s="3" t="s">
        <v>10</v>
      </c>
      <c r="G35" s="21">
        <f t="shared" si="3"/>
        <v>6</v>
      </c>
      <c r="H35" s="3" t="s">
        <v>14</v>
      </c>
      <c r="I35" s="21">
        <f t="shared" si="4"/>
        <v>0</v>
      </c>
      <c r="J35" s="3" t="s">
        <v>10</v>
      </c>
      <c r="K35" s="21">
        <f t="shared" si="5"/>
        <v>6</v>
      </c>
      <c r="L35" s="3" t="s">
        <v>10</v>
      </c>
      <c r="M35" s="22">
        <f t="shared" si="6"/>
        <v>6</v>
      </c>
      <c r="N35" s="1"/>
      <c r="O35" s="48"/>
      <c r="P35" s="1"/>
      <c r="Q35" s="1"/>
      <c r="R35" s="1"/>
      <c r="S35" s="1"/>
      <c r="T35" s="1"/>
      <c r="U35" s="1"/>
      <c r="V35" s="1"/>
    </row>
    <row r="36" spans="1:22" x14ac:dyDescent="0.2">
      <c r="A36" s="1"/>
      <c r="B36" s="5"/>
      <c r="C36" s="2">
        <v>4</v>
      </c>
      <c r="D36" s="4" t="s">
        <v>14</v>
      </c>
      <c r="E36" s="46">
        <v>5</v>
      </c>
      <c r="F36" s="3" t="s">
        <v>14</v>
      </c>
      <c r="G36" s="21">
        <f t="shared" si="3"/>
        <v>5</v>
      </c>
      <c r="H36" s="3" t="s">
        <v>10</v>
      </c>
      <c r="I36" s="21">
        <f t="shared" si="4"/>
        <v>0</v>
      </c>
      <c r="J36" s="3" t="s">
        <v>9</v>
      </c>
      <c r="K36" s="21">
        <f t="shared" si="5"/>
        <v>0</v>
      </c>
      <c r="L36" s="3" t="s">
        <v>14</v>
      </c>
      <c r="M36" s="22">
        <f t="shared" si="6"/>
        <v>5</v>
      </c>
      <c r="N36" s="1"/>
      <c r="O36" s="48"/>
      <c r="P36" s="1"/>
      <c r="Q36" s="1"/>
      <c r="R36" s="1"/>
      <c r="S36" s="1"/>
      <c r="T36" s="1"/>
      <c r="U36" s="1"/>
      <c r="V36" s="1"/>
    </row>
    <row r="37" spans="1:22" x14ac:dyDescent="0.2">
      <c r="A37" s="1"/>
      <c r="B37" s="5"/>
      <c r="C37" s="2">
        <v>5</v>
      </c>
      <c r="D37" s="4" t="s">
        <v>21</v>
      </c>
      <c r="E37" s="46">
        <v>4</v>
      </c>
      <c r="F37" s="3" t="s">
        <v>9</v>
      </c>
      <c r="G37" s="21">
        <f t="shared" si="3"/>
        <v>0</v>
      </c>
      <c r="H37" s="3" t="s">
        <v>8</v>
      </c>
      <c r="I37" s="21">
        <f t="shared" si="4"/>
        <v>0</v>
      </c>
      <c r="J37" s="3" t="s">
        <v>9</v>
      </c>
      <c r="K37" s="21">
        <f t="shared" si="5"/>
        <v>0</v>
      </c>
      <c r="L37" s="3" t="s">
        <v>9</v>
      </c>
      <c r="M37" s="22">
        <f t="shared" si="6"/>
        <v>0</v>
      </c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1"/>
      <c r="B38" s="5"/>
      <c r="C38" s="2">
        <v>6</v>
      </c>
      <c r="D38" s="4" t="s">
        <v>18</v>
      </c>
      <c r="E38" s="21">
        <v>3</v>
      </c>
      <c r="F38" s="3" t="s">
        <v>18</v>
      </c>
      <c r="G38" s="21">
        <f t="shared" si="3"/>
        <v>3</v>
      </c>
      <c r="H38" s="3" t="s">
        <v>18</v>
      </c>
      <c r="I38" s="21">
        <f t="shared" si="4"/>
        <v>3</v>
      </c>
      <c r="J38" s="3" t="s">
        <v>8</v>
      </c>
      <c r="K38" s="21">
        <f t="shared" si="5"/>
        <v>0</v>
      </c>
      <c r="L38" s="3" t="s">
        <v>8</v>
      </c>
      <c r="M38" s="22">
        <f t="shared" si="6"/>
        <v>0</v>
      </c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1"/>
      <c r="B39" s="5"/>
      <c r="C39" s="2">
        <v>7</v>
      </c>
      <c r="D39" s="4" t="s">
        <v>59</v>
      </c>
      <c r="E39" s="21">
        <v>2</v>
      </c>
      <c r="F39" s="3" t="s">
        <v>8</v>
      </c>
      <c r="G39" s="21">
        <f t="shared" si="3"/>
        <v>0</v>
      </c>
      <c r="H39" s="3" t="s">
        <v>9</v>
      </c>
      <c r="I39" s="21">
        <f t="shared" si="4"/>
        <v>0</v>
      </c>
      <c r="J39" s="3" t="s">
        <v>14</v>
      </c>
      <c r="K39" s="21">
        <f t="shared" si="5"/>
        <v>0</v>
      </c>
      <c r="L39" s="3" t="s">
        <v>18</v>
      </c>
      <c r="M39" s="22">
        <f t="shared" si="6"/>
        <v>0</v>
      </c>
      <c r="N39" s="1"/>
      <c r="O39" s="30"/>
      <c r="P39" s="1"/>
      <c r="Q39" s="1"/>
      <c r="R39" s="1"/>
      <c r="S39" s="1"/>
      <c r="T39" s="1"/>
      <c r="U39" s="1"/>
      <c r="V39" s="1"/>
    </row>
    <row r="40" spans="1:22" x14ac:dyDescent="0.2">
      <c r="A40" s="1"/>
      <c r="B40" s="5"/>
      <c r="C40" s="2">
        <v>8</v>
      </c>
      <c r="D40" s="4" t="s">
        <v>20</v>
      </c>
      <c r="E40" s="21">
        <v>1</v>
      </c>
      <c r="F40" s="3" t="s">
        <v>22</v>
      </c>
      <c r="G40" s="21">
        <f t="shared" si="3"/>
        <v>0</v>
      </c>
      <c r="H40" s="3" t="s">
        <v>22</v>
      </c>
      <c r="I40" s="21">
        <f t="shared" si="4"/>
        <v>0</v>
      </c>
      <c r="J40" s="3" t="s">
        <v>22</v>
      </c>
      <c r="K40" s="21">
        <f t="shared" si="5"/>
        <v>0</v>
      </c>
      <c r="L40" s="3" t="s">
        <v>56</v>
      </c>
      <c r="M40" s="22">
        <f t="shared" si="6"/>
        <v>0</v>
      </c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1"/>
      <c r="B41" s="5"/>
      <c r="C41" s="2"/>
      <c r="D41" s="4"/>
      <c r="E41" s="21"/>
      <c r="F41" s="3"/>
      <c r="G41" s="21"/>
      <c r="H41" s="3"/>
      <c r="I41" s="21"/>
      <c r="J41" s="3"/>
      <c r="K41" s="21"/>
      <c r="L41" s="3"/>
      <c r="M41" s="22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">
      <c r="A42" s="1"/>
      <c r="B42" s="5"/>
      <c r="C42" s="2"/>
      <c r="D42" s="4"/>
      <c r="E42" s="21"/>
      <c r="F42" s="3"/>
      <c r="G42" s="21"/>
      <c r="H42" s="3"/>
      <c r="I42" s="21"/>
      <c r="J42" s="3"/>
      <c r="K42" s="21"/>
      <c r="L42" s="6"/>
      <c r="M42" s="22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">
      <c r="A43" s="1"/>
      <c r="B43" s="19"/>
      <c r="C43" s="2"/>
      <c r="D43" s="4"/>
      <c r="E43" s="21"/>
      <c r="F43" s="3"/>
      <c r="G43" s="21"/>
      <c r="H43" s="3"/>
      <c r="I43" s="21"/>
      <c r="J43" s="3"/>
      <c r="K43" s="21"/>
      <c r="L43" s="3"/>
      <c r="M43" s="2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1"/>
      <c r="B44" s="19"/>
      <c r="C44" s="2"/>
      <c r="D44" s="4"/>
      <c r="E44" s="21"/>
      <c r="F44" s="3"/>
      <c r="G44" s="21"/>
      <c r="H44" s="3"/>
      <c r="I44" s="21"/>
      <c r="J44" s="3"/>
      <c r="K44" s="21"/>
      <c r="L44" s="3"/>
      <c r="M44" s="22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1"/>
      <c r="B45" s="15"/>
      <c r="C45" s="16"/>
      <c r="D45" s="17"/>
      <c r="E45" s="20"/>
      <c r="F45" s="15"/>
      <c r="G45" s="20"/>
      <c r="H45" s="15"/>
      <c r="I45" s="20"/>
      <c r="J45" s="15"/>
      <c r="K45" s="20"/>
      <c r="L45" s="18"/>
      <c r="M45" s="20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1"/>
      <c r="B46" s="39"/>
      <c r="C46" s="40"/>
      <c r="D46" s="40" t="s">
        <v>16</v>
      </c>
      <c r="E46" s="41"/>
      <c r="F46" s="42"/>
      <c r="G46" s="45">
        <f>SUM(G33:G44)</f>
        <v>22</v>
      </c>
      <c r="H46" s="42"/>
      <c r="I46" s="41">
        <f>SUM(I33:I44)</f>
        <v>3</v>
      </c>
      <c r="J46" s="42"/>
      <c r="K46" s="41">
        <f>SUM(K33:K44)</f>
        <v>14</v>
      </c>
      <c r="L46" s="43"/>
      <c r="M46" s="41">
        <f>SUM(M33:M44)</f>
        <v>19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1"/>
      <c r="B47" s="39"/>
      <c r="C47" s="40"/>
      <c r="D47" s="40" t="s">
        <v>5</v>
      </c>
      <c r="E47" s="41"/>
      <c r="F47" s="42"/>
      <c r="G47" s="41">
        <f>G46+G27</f>
        <v>23</v>
      </c>
      <c r="H47" s="42"/>
      <c r="I47" s="41">
        <f>I46+I27</f>
        <v>27</v>
      </c>
      <c r="J47" s="42"/>
      <c r="K47" s="41">
        <f>K46+K27</f>
        <v>77</v>
      </c>
      <c r="L47" s="43"/>
      <c r="M47" s="41">
        <f>M46+M27</f>
        <v>87</v>
      </c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4" x14ac:dyDescent="0.3">
      <c r="A49" s="1"/>
      <c r="B49" s="53" t="s">
        <v>28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1"/>
      <c r="O49" s="1"/>
      <c r="P49" s="1"/>
      <c r="Q49" s="1"/>
      <c r="R49" s="1"/>
      <c r="S49" s="1"/>
      <c r="T49" s="1"/>
      <c r="U49" s="1"/>
      <c r="V49" s="1"/>
    </row>
    <row r="50" spans="1:22" ht="19" x14ac:dyDescent="0.25">
      <c r="A50" s="1"/>
      <c r="B50" s="34"/>
      <c r="C50" s="35"/>
      <c r="D50" s="35"/>
      <c r="E50" s="36"/>
      <c r="F50" s="51" t="s">
        <v>0</v>
      </c>
      <c r="G50" s="52"/>
      <c r="H50" s="51" t="s">
        <v>1</v>
      </c>
      <c r="I50" s="52"/>
      <c r="J50" s="51" t="s">
        <v>2</v>
      </c>
      <c r="K50" s="52"/>
      <c r="L50" s="51" t="s">
        <v>3</v>
      </c>
      <c r="M50" s="52"/>
      <c r="N50" s="1"/>
      <c r="O50" s="1"/>
      <c r="P50" s="1"/>
      <c r="Q50" s="1"/>
      <c r="R50" s="1"/>
      <c r="S50" s="1"/>
      <c r="T50" s="1"/>
      <c r="U50" s="1"/>
      <c r="V50" s="1"/>
    </row>
    <row r="51" spans="1:22" ht="19" x14ac:dyDescent="0.25">
      <c r="A51" s="1"/>
      <c r="B51" s="49" t="s">
        <v>7</v>
      </c>
      <c r="C51" s="50"/>
      <c r="D51" s="50"/>
      <c r="E51" s="37" t="s">
        <v>6</v>
      </c>
      <c r="F51" s="38" t="s">
        <v>7</v>
      </c>
      <c r="G51" s="37" t="s">
        <v>6</v>
      </c>
      <c r="H51" s="38" t="s">
        <v>7</v>
      </c>
      <c r="I51" s="37" t="s">
        <v>6</v>
      </c>
      <c r="J51" s="38" t="s">
        <v>7</v>
      </c>
      <c r="K51" s="37" t="s">
        <v>6</v>
      </c>
      <c r="L51" s="38" t="s">
        <v>7</v>
      </c>
      <c r="M51" s="37" t="s">
        <v>6</v>
      </c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">
      <c r="A52" s="1"/>
      <c r="B52" s="9"/>
      <c r="C52" s="10"/>
      <c r="D52" s="11"/>
      <c r="E52" s="12"/>
      <c r="F52" s="13"/>
      <c r="G52" s="12"/>
      <c r="H52" s="13"/>
      <c r="I52" s="12"/>
      <c r="J52" s="13"/>
      <c r="K52" s="12"/>
      <c r="L52" s="14"/>
      <c r="M52" s="12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">
      <c r="A53" s="1"/>
      <c r="B53" s="5"/>
      <c r="C53" s="2">
        <v>1</v>
      </c>
      <c r="D53" s="4" t="s">
        <v>21</v>
      </c>
      <c r="E53" s="21">
        <v>25</v>
      </c>
      <c r="F53" s="3" t="s">
        <v>12</v>
      </c>
      <c r="G53" s="21">
        <f t="shared" ref="G53:G63" si="7">IF(F53=$D53,$E53,0)</f>
        <v>0</v>
      </c>
      <c r="H53" s="3" t="s">
        <v>12</v>
      </c>
      <c r="I53" s="21">
        <f>IF(H53=$D53,$E53,0)</f>
        <v>0</v>
      </c>
      <c r="J53" s="3" t="s">
        <v>12</v>
      </c>
      <c r="K53" s="21">
        <f>IF(J53=$D53,$E53,0)</f>
        <v>0</v>
      </c>
      <c r="L53" s="3" t="s">
        <v>12</v>
      </c>
      <c r="M53" s="22">
        <f>IF(L53=$D53,$E53,0)</f>
        <v>0</v>
      </c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">
      <c r="A54" s="1"/>
      <c r="B54" s="5"/>
      <c r="C54" s="2">
        <v>2</v>
      </c>
      <c r="D54" s="4" t="s">
        <v>12</v>
      </c>
      <c r="E54" s="21">
        <v>18</v>
      </c>
      <c r="F54" s="3" t="s">
        <v>21</v>
      </c>
      <c r="G54" s="21">
        <f t="shared" si="7"/>
        <v>0</v>
      </c>
      <c r="H54" s="3" t="s">
        <v>21</v>
      </c>
      <c r="I54" s="21">
        <f t="shared" ref="I54:I63" si="8">IF(H54=$D54,$E54,0)</f>
        <v>0</v>
      </c>
      <c r="J54" s="3" t="s">
        <v>21</v>
      </c>
      <c r="K54" s="21">
        <f t="shared" ref="K54:K64" si="9">IF(J54=$D54,$E54,0)</f>
        <v>0</v>
      </c>
      <c r="L54" s="3" t="s">
        <v>21</v>
      </c>
      <c r="M54" s="22">
        <f t="shared" ref="M54:M64" si="10">IF(L54=$D54,$E54,0)</f>
        <v>0</v>
      </c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">
      <c r="A55" s="1"/>
      <c r="B55" s="5"/>
      <c r="C55" s="2">
        <v>3</v>
      </c>
      <c r="D55" s="4" t="s">
        <v>10</v>
      </c>
      <c r="E55" s="21">
        <v>15</v>
      </c>
      <c r="F55" s="3" t="s">
        <v>9</v>
      </c>
      <c r="G55" s="21">
        <f t="shared" si="7"/>
        <v>0</v>
      </c>
      <c r="H55" s="3" t="s">
        <v>9</v>
      </c>
      <c r="I55" s="21">
        <f t="shared" si="8"/>
        <v>0</v>
      </c>
      <c r="J55" s="3" t="s">
        <v>9</v>
      </c>
      <c r="K55" s="21">
        <f t="shared" si="9"/>
        <v>0</v>
      </c>
      <c r="L55" s="3" t="s">
        <v>10</v>
      </c>
      <c r="M55" s="22">
        <f t="shared" si="10"/>
        <v>15</v>
      </c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">
      <c r="A56" s="1"/>
      <c r="B56" s="5"/>
      <c r="C56" s="2">
        <v>4</v>
      </c>
      <c r="D56" s="4" t="s">
        <v>9</v>
      </c>
      <c r="E56" s="21">
        <v>12</v>
      </c>
      <c r="F56" s="3" t="s">
        <v>10</v>
      </c>
      <c r="G56" s="21">
        <f t="shared" si="7"/>
        <v>0</v>
      </c>
      <c r="H56" s="3" t="s">
        <v>10</v>
      </c>
      <c r="I56" s="21">
        <f t="shared" si="8"/>
        <v>0</v>
      </c>
      <c r="J56" s="3" t="s">
        <v>10</v>
      </c>
      <c r="K56" s="21">
        <f t="shared" si="9"/>
        <v>0</v>
      </c>
      <c r="L56" s="3" t="s">
        <v>9</v>
      </c>
      <c r="M56" s="22">
        <f t="shared" si="10"/>
        <v>12</v>
      </c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">
      <c r="A57" s="1"/>
      <c r="B57" s="5"/>
      <c r="C57" s="2">
        <v>5</v>
      </c>
      <c r="D57" s="4" t="s">
        <v>20</v>
      </c>
      <c r="E57" s="21">
        <v>10</v>
      </c>
      <c r="F57" s="3" t="s">
        <v>8</v>
      </c>
      <c r="G57" s="21">
        <f t="shared" si="7"/>
        <v>0</v>
      </c>
      <c r="H57" s="3" t="s">
        <v>18</v>
      </c>
      <c r="I57" s="21">
        <f t="shared" si="8"/>
        <v>0</v>
      </c>
      <c r="J57" s="3" t="s">
        <v>18</v>
      </c>
      <c r="K57" s="21">
        <f t="shared" si="9"/>
        <v>0</v>
      </c>
      <c r="L57" s="3" t="s">
        <v>14</v>
      </c>
      <c r="M57" s="22">
        <f t="shared" si="10"/>
        <v>0</v>
      </c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">
      <c r="A58" s="1"/>
      <c r="B58" s="5"/>
      <c r="C58" s="2">
        <v>6</v>
      </c>
      <c r="D58" s="4" t="s">
        <v>56</v>
      </c>
      <c r="E58" s="21">
        <v>8</v>
      </c>
      <c r="F58" s="3" t="s">
        <v>18</v>
      </c>
      <c r="G58" s="21">
        <f t="shared" si="7"/>
        <v>0</v>
      </c>
      <c r="H58" s="3" t="s">
        <v>8</v>
      </c>
      <c r="I58" s="21">
        <f t="shared" si="8"/>
        <v>0</v>
      </c>
      <c r="J58" s="3" t="s">
        <v>14</v>
      </c>
      <c r="K58" s="21">
        <f t="shared" si="9"/>
        <v>0</v>
      </c>
      <c r="L58" s="3" t="s">
        <v>18</v>
      </c>
      <c r="M58" s="22">
        <f t="shared" si="10"/>
        <v>0</v>
      </c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">
      <c r="A59" s="1"/>
      <c r="B59" s="5"/>
      <c r="C59" s="2">
        <v>7</v>
      </c>
      <c r="D59" s="4" t="s">
        <v>59</v>
      </c>
      <c r="E59" s="21">
        <v>6</v>
      </c>
      <c r="F59" s="3" t="s">
        <v>14</v>
      </c>
      <c r="G59" s="21">
        <f t="shared" si="7"/>
        <v>0</v>
      </c>
      <c r="H59" s="3" t="s">
        <v>14</v>
      </c>
      <c r="I59" s="21">
        <f t="shared" si="8"/>
        <v>0</v>
      </c>
      <c r="J59" s="3" t="s">
        <v>8</v>
      </c>
      <c r="K59" s="21">
        <f t="shared" si="9"/>
        <v>0</v>
      </c>
      <c r="L59" s="3" t="s">
        <v>8</v>
      </c>
      <c r="M59" s="22">
        <f t="shared" si="10"/>
        <v>0</v>
      </c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">
      <c r="A60" s="1"/>
      <c r="B60" s="5"/>
      <c r="C60" s="2">
        <v>8</v>
      </c>
      <c r="D60" s="4" t="s">
        <v>22</v>
      </c>
      <c r="E60" s="21">
        <v>4</v>
      </c>
      <c r="F60" s="3" t="s">
        <v>22</v>
      </c>
      <c r="G60" s="21">
        <f t="shared" si="7"/>
        <v>4</v>
      </c>
      <c r="H60" s="3" t="s">
        <v>22</v>
      </c>
      <c r="I60" s="21">
        <f t="shared" si="8"/>
        <v>4</v>
      </c>
      <c r="J60" s="3" t="s">
        <v>22</v>
      </c>
      <c r="K60" s="21">
        <f t="shared" si="9"/>
        <v>4</v>
      </c>
      <c r="L60" s="3" t="s">
        <v>22</v>
      </c>
      <c r="M60" s="22">
        <f t="shared" si="10"/>
        <v>4</v>
      </c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">
      <c r="A61" s="1"/>
      <c r="B61" s="5"/>
      <c r="C61" s="2">
        <v>9</v>
      </c>
      <c r="D61" s="4" t="s">
        <v>13</v>
      </c>
      <c r="E61" s="21">
        <v>2</v>
      </c>
      <c r="F61" s="3" t="s">
        <v>20</v>
      </c>
      <c r="G61" s="21">
        <f t="shared" si="7"/>
        <v>0</v>
      </c>
      <c r="H61" s="6" t="s">
        <v>17</v>
      </c>
      <c r="I61" s="21">
        <f t="shared" si="8"/>
        <v>0</v>
      </c>
      <c r="J61" s="3" t="s">
        <v>20</v>
      </c>
      <c r="K61" s="21">
        <f t="shared" si="9"/>
        <v>0</v>
      </c>
      <c r="L61" s="3" t="s">
        <v>56</v>
      </c>
      <c r="M61" s="22">
        <f t="shared" si="10"/>
        <v>0</v>
      </c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">
      <c r="A62" s="1"/>
      <c r="B62" s="5"/>
      <c r="C62" s="2">
        <v>10</v>
      </c>
      <c r="D62" s="4" t="s">
        <v>64</v>
      </c>
      <c r="E62" s="21">
        <v>1</v>
      </c>
      <c r="F62" s="3" t="s">
        <v>56</v>
      </c>
      <c r="G62" s="21">
        <f t="shared" si="7"/>
        <v>0</v>
      </c>
      <c r="H62" s="3" t="s">
        <v>20</v>
      </c>
      <c r="I62" s="21">
        <f t="shared" si="8"/>
        <v>0</v>
      </c>
      <c r="J62" s="3" t="s">
        <v>56</v>
      </c>
      <c r="K62" s="21">
        <f t="shared" si="9"/>
        <v>0</v>
      </c>
      <c r="L62" s="6" t="s">
        <v>17</v>
      </c>
      <c r="M62" s="22">
        <f t="shared" si="10"/>
        <v>0</v>
      </c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">
      <c r="A63" s="1"/>
      <c r="B63" s="19"/>
      <c r="C63" s="2" t="s">
        <v>4</v>
      </c>
      <c r="D63" s="4" t="s">
        <v>21</v>
      </c>
      <c r="E63" s="21">
        <v>1</v>
      </c>
      <c r="F63" s="3" t="s">
        <v>12</v>
      </c>
      <c r="G63" s="21">
        <f t="shared" si="7"/>
        <v>0</v>
      </c>
      <c r="H63" s="3" t="s">
        <v>12</v>
      </c>
      <c r="I63" s="21">
        <f t="shared" si="8"/>
        <v>0</v>
      </c>
      <c r="J63" s="3" t="s">
        <v>12</v>
      </c>
      <c r="K63" s="21">
        <f t="shared" si="9"/>
        <v>0</v>
      </c>
      <c r="L63" s="3" t="s">
        <v>12</v>
      </c>
      <c r="M63" s="21">
        <f t="shared" si="10"/>
        <v>0</v>
      </c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">
      <c r="A64" s="1"/>
      <c r="B64" s="19"/>
      <c r="C64" s="2" t="s">
        <v>19</v>
      </c>
      <c r="D64" s="4"/>
      <c r="E64" s="21">
        <v>10</v>
      </c>
      <c r="F64" s="3" t="s">
        <v>11</v>
      </c>
      <c r="G64" s="21">
        <v>10</v>
      </c>
      <c r="H64" s="3" t="s">
        <v>62</v>
      </c>
      <c r="I64" s="21">
        <v>10</v>
      </c>
      <c r="J64" s="3" t="s">
        <v>63</v>
      </c>
      <c r="K64" s="21">
        <f t="shared" si="9"/>
        <v>0</v>
      </c>
      <c r="L64" s="3" t="s">
        <v>15</v>
      </c>
      <c r="M64" s="22">
        <f t="shared" si="10"/>
        <v>0</v>
      </c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">
      <c r="A65" s="1"/>
      <c r="B65" s="15"/>
      <c r="C65" s="16"/>
      <c r="D65" s="17"/>
      <c r="E65" s="20"/>
      <c r="F65" s="15"/>
      <c r="G65" s="20"/>
      <c r="H65" s="15"/>
      <c r="I65" s="20"/>
      <c r="J65" s="15"/>
      <c r="K65" s="20"/>
      <c r="L65" s="18"/>
      <c r="M65" s="20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">
      <c r="A66" s="1"/>
      <c r="B66" s="39"/>
      <c r="C66" s="40"/>
      <c r="D66" s="40" t="s">
        <v>16</v>
      </c>
      <c r="E66" s="41"/>
      <c r="F66" s="42"/>
      <c r="G66" s="45">
        <f>SUM(G53:G64)</f>
        <v>14</v>
      </c>
      <c r="H66" s="42"/>
      <c r="I66" s="41">
        <f>SUM(I53:I64)</f>
        <v>14</v>
      </c>
      <c r="J66" s="42"/>
      <c r="K66" s="41">
        <f>SUM(K53:K64)</f>
        <v>4</v>
      </c>
      <c r="L66" s="43"/>
      <c r="M66" s="41">
        <f>SUM(M53:M64)</f>
        <v>31</v>
      </c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">
      <c r="A67" s="1"/>
      <c r="B67" s="39"/>
      <c r="C67" s="40"/>
      <c r="D67" s="40" t="s">
        <v>5</v>
      </c>
      <c r="E67" s="41"/>
      <c r="F67" s="42"/>
      <c r="G67" s="41">
        <f>G66+G47</f>
        <v>37</v>
      </c>
      <c r="H67" s="42"/>
      <c r="I67" s="41">
        <f>I66+I47</f>
        <v>41</v>
      </c>
      <c r="J67" s="42"/>
      <c r="K67" s="41">
        <f>K66+K47</f>
        <v>81</v>
      </c>
      <c r="L67" s="43"/>
      <c r="M67" s="41">
        <f>M66+M47</f>
        <v>118</v>
      </c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4" x14ac:dyDescent="0.3">
      <c r="A69" s="1"/>
      <c r="B69" s="53" t="s">
        <v>29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1"/>
      <c r="O69" s="1"/>
      <c r="P69" s="1"/>
      <c r="Q69" s="1"/>
      <c r="R69" s="1"/>
      <c r="S69" s="1"/>
      <c r="T69" s="1"/>
      <c r="U69" s="1"/>
      <c r="V69" s="1"/>
    </row>
    <row r="70" spans="1:22" ht="19" x14ac:dyDescent="0.25">
      <c r="A70" s="1"/>
      <c r="B70" s="34"/>
      <c r="C70" s="35"/>
      <c r="D70" s="35"/>
      <c r="E70" s="36"/>
      <c r="F70" s="51" t="s">
        <v>0</v>
      </c>
      <c r="G70" s="52"/>
      <c r="H70" s="51" t="s">
        <v>1</v>
      </c>
      <c r="I70" s="52"/>
      <c r="J70" s="51" t="s">
        <v>2</v>
      </c>
      <c r="K70" s="52"/>
      <c r="L70" s="51" t="s">
        <v>3</v>
      </c>
      <c r="M70" s="52"/>
      <c r="N70" s="1"/>
      <c r="O70" s="1"/>
      <c r="P70" s="1"/>
      <c r="Q70" s="1"/>
      <c r="R70" s="1"/>
      <c r="S70" s="1"/>
      <c r="T70" s="1"/>
      <c r="U70" s="1"/>
      <c r="V70" s="1"/>
    </row>
    <row r="71" spans="1:22" ht="19" x14ac:dyDescent="0.25">
      <c r="A71" s="1"/>
      <c r="B71" s="49" t="s">
        <v>7</v>
      </c>
      <c r="C71" s="50"/>
      <c r="D71" s="50"/>
      <c r="E71" s="37" t="s">
        <v>6</v>
      </c>
      <c r="F71" s="38" t="s">
        <v>7</v>
      </c>
      <c r="G71" s="37" t="s">
        <v>6</v>
      </c>
      <c r="H71" s="38" t="s">
        <v>7</v>
      </c>
      <c r="I71" s="37" t="s">
        <v>6</v>
      </c>
      <c r="J71" s="38" t="s">
        <v>7</v>
      </c>
      <c r="K71" s="37" t="s">
        <v>6</v>
      </c>
      <c r="L71" s="38" t="s">
        <v>7</v>
      </c>
      <c r="M71" s="37" t="s">
        <v>6</v>
      </c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">
      <c r="A72" s="1"/>
      <c r="B72" s="9"/>
      <c r="C72" s="10"/>
      <c r="D72" s="11"/>
      <c r="E72" s="12"/>
      <c r="F72" s="13"/>
      <c r="G72" s="12"/>
      <c r="H72" s="13"/>
      <c r="I72" s="12"/>
      <c r="J72" s="13"/>
      <c r="K72" s="12"/>
      <c r="L72" s="14"/>
      <c r="M72" s="12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">
      <c r="A73" s="1"/>
      <c r="B73" s="5"/>
      <c r="C73" s="2">
        <v>1</v>
      </c>
      <c r="D73" s="4" t="s">
        <v>21</v>
      </c>
      <c r="E73" s="21">
        <v>25</v>
      </c>
      <c r="F73" s="3" t="s">
        <v>21</v>
      </c>
      <c r="G73" s="21">
        <f>IF(F73=$D73,$E73,0)</f>
        <v>25</v>
      </c>
      <c r="H73" s="3" t="s">
        <v>21</v>
      </c>
      <c r="I73" s="21">
        <f>IF(H73=$D73,$E73,0)</f>
        <v>25</v>
      </c>
      <c r="J73" s="3" t="s">
        <v>12</v>
      </c>
      <c r="K73" s="21">
        <f>IF(J73=$D73,$E73,0)</f>
        <v>0</v>
      </c>
      <c r="L73" s="3" t="s">
        <v>21</v>
      </c>
      <c r="M73" s="22">
        <f>IF(L73=$D73,$E73,0)</f>
        <v>25</v>
      </c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">
      <c r="A74" s="1"/>
      <c r="B74" s="5"/>
      <c r="C74" s="2">
        <v>2</v>
      </c>
      <c r="D74" s="4" t="s">
        <v>18</v>
      </c>
      <c r="E74" s="21">
        <v>18</v>
      </c>
      <c r="F74" s="3" t="s">
        <v>12</v>
      </c>
      <c r="G74" s="21">
        <f t="shared" ref="G74:G83" si="11">IF(F74=$D74,$E74,0)</f>
        <v>0</v>
      </c>
      <c r="H74" s="3" t="s">
        <v>12</v>
      </c>
      <c r="I74" s="21">
        <f t="shared" ref="I74:I83" si="12">IF(H74=$D74,$E74,0)</f>
        <v>0</v>
      </c>
      <c r="J74" s="3" t="s">
        <v>21</v>
      </c>
      <c r="K74" s="21">
        <f t="shared" ref="K74:K83" si="13">IF(J74=$D74,$E74,0)</f>
        <v>0</v>
      </c>
      <c r="L74" s="3" t="s">
        <v>12</v>
      </c>
      <c r="M74" s="22">
        <f t="shared" ref="M74:M83" si="14">IF(L74=$D74,$E74,0)</f>
        <v>0</v>
      </c>
      <c r="N74" s="1"/>
      <c r="O74" s="47"/>
      <c r="P74" s="1"/>
      <c r="Q74" s="1"/>
      <c r="R74" s="1"/>
      <c r="S74" s="1"/>
      <c r="T74" s="1"/>
      <c r="U74" s="1"/>
      <c r="V74" s="1"/>
    </row>
    <row r="75" spans="1:22" x14ac:dyDescent="0.2">
      <c r="A75" s="1"/>
      <c r="B75" s="5"/>
      <c r="C75" s="2">
        <v>3</v>
      </c>
      <c r="D75" s="4" t="s">
        <v>9</v>
      </c>
      <c r="E75" s="21">
        <v>15</v>
      </c>
      <c r="F75" s="3" t="s">
        <v>9</v>
      </c>
      <c r="G75" s="21">
        <f t="shared" si="11"/>
        <v>15</v>
      </c>
      <c r="H75" s="3" t="s">
        <v>9</v>
      </c>
      <c r="I75" s="21">
        <f t="shared" si="12"/>
        <v>15</v>
      </c>
      <c r="J75" s="3" t="s">
        <v>9</v>
      </c>
      <c r="K75" s="21">
        <f t="shared" si="13"/>
        <v>15</v>
      </c>
      <c r="L75" s="3" t="s">
        <v>9</v>
      </c>
      <c r="M75" s="22">
        <f t="shared" si="14"/>
        <v>15</v>
      </c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">
      <c r="A76" s="1"/>
      <c r="B76" s="5"/>
      <c r="C76" s="2">
        <v>4</v>
      </c>
      <c r="D76" s="4" t="s">
        <v>12</v>
      </c>
      <c r="E76" s="21">
        <v>12</v>
      </c>
      <c r="F76" s="3" t="s">
        <v>18</v>
      </c>
      <c r="G76" s="21">
        <f t="shared" si="11"/>
        <v>0</v>
      </c>
      <c r="H76" s="3" t="s">
        <v>18</v>
      </c>
      <c r="I76" s="21">
        <f t="shared" si="12"/>
        <v>0</v>
      </c>
      <c r="J76" s="3" t="s">
        <v>10</v>
      </c>
      <c r="K76" s="21">
        <f t="shared" si="13"/>
        <v>0</v>
      </c>
      <c r="L76" s="3" t="s">
        <v>10</v>
      </c>
      <c r="M76" s="22">
        <f t="shared" si="14"/>
        <v>0</v>
      </c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">
      <c r="A77" s="1"/>
      <c r="B77" s="5"/>
      <c r="C77" s="2">
        <v>5</v>
      </c>
      <c r="D77" s="4" t="s">
        <v>14</v>
      </c>
      <c r="E77" s="21">
        <v>10</v>
      </c>
      <c r="F77" s="3" t="s">
        <v>10</v>
      </c>
      <c r="G77" s="21">
        <f t="shared" si="11"/>
        <v>0</v>
      </c>
      <c r="H77" s="3" t="s">
        <v>14</v>
      </c>
      <c r="I77" s="21">
        <f t="shared" si="12"/>
        <v>10</v>
      </c>
      <c r="J77" s="3" t="s">
        <v>8</v>
      </c>
      <c r="K77" s="21">
        <f t="shared" si="13"/>
        <v>0</v>
      </c>
      <c r="L77" s="3" t="s">
        <v>18</v>
      </c>
      <c r="M77" s="22">
        <f t="shared" si="14"/>
        <v>0</v>
      </c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">
      <c r="A78" s="1"/>
      <c r="B78" s="5"/>
      <c r="C78" s="2">
        <v>6</v>
      </c>
      <c r="D78" s="4" t="s">
        <v>10</v>
      </c>
      <c r="E78" s="21">
        <v>8</v>
      </c>
      <c r="F78" s="3" t="s">
        <v>14</v>
      </c>
      <c r="G78" s="21">
        <f t="shared" si="11"/>
        <v>0</v>
      </c>
      <c r="H78" s="3" t="s">
        <v>8</v>
      </c>
      <c r="I78" s="21">
        <f t="shared" si="12"/>
        <v>0</v>
      </c>
      <c r="J78" s="3" t="s">
        <v>18</v>
      </c>
      <c r="K78" s="21">
        <f t="shared" si="13"/>
        <v>0</v>
      </c>
      <c r="L78" s="3" t="s">
        <v>14</v>
      </c>
      <c r="M78" s="22">
        <f t="shared" si="14"/>
        <v>0</v>
      </c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">
      <c r="A79" s="1"/>
      <c r="B79" s="5"/>
      <c r="C79" s="2">
        <v>7</v>
      </c>
      <c r="D79" s="4" t="s">
        <v>56</v>
      </c>
      <c r="E79" s="21">
        <v>6</v>
      </c>
      <c r="F79" s="3" t="s">
        <v>8</v>
      </c>
      <c r="G79" s="21">
        <f t="shared" si="11"/>
        <v>0</v>
      </c>
      <c r="H79" s="3" t="s">
        <v>10</v>
      </c>
      <c r="I79" s="21">
        <f t="shared" si="12"/>
        <v>0</v>
      </c>
      <c r="J79" s="3" t="s">
        <v>14</v>
      </c>
      <c r="K79" s="21">
        <f t="shared" si="13"/>
        <v>0</v>
      </c>
      <c r="L79" s="3" t="s">
        <v>22</v>
      </c>
      <c r="M79" s="22">
        <f t="shared" si="14"/>
        <v>0</v>
      </c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">
      <c r="A80" s="1"/>
      <c r="B80" s="5"/>
      <c r="C80" s="2">
        <v>8</v>
      </c>
      <c r="D80" s="4" t="s">
        <v>8</v>
      </c>
      <c r="E80" s="21">
        <v>4</v>
      </c>
      <c r="F80" s="3" t="s">
        <v>22</v>
      </c>
      <c r="G80" s="21">
        <f t="shared" si="11"/>
        <v>0</v>
      </c>
      <c r="H80" s="3" t="s">
        <v>56</v>
      </c>
      <c r="I80" s="21">
        <f t="shared" si="12"/>
        <v>0</v>
      </c>
      <c r="J80" s="3" t="s">
        <v>22</v>
      </c>
      <c r="K80" s="21">
        <f t="shared" si="13"/>
        <v>0</v>
      </c>
      <c r="L80" s="3" t="s">
        <v>8</v>
      </c>
      <c r="M80" s="22">
        <f t="shared" si="14"/>
        <v>4</v>
      </c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">
      <c r="A81" s="1"/>
      <c r="B81" s="5"/>
      <c r="C81" s="2">
        <v>9</v>
      </c>
      <c r="D81" s="4" t="s">
        <v>59</v>
      </c>
      <c r="E81" s="21">
        <v>2</v>
      </c>
      <c r="F81" s="3" t="s">
        <v>56</v>
      </c>
      <c r="G81" s="21">
        <f t="shared" si="11"/>
        <v>0</v>
      </c>
      <c r="H81" s="3" t="s">
        <v>22</v>
      </c>
      <c r="I81" s="21">
        <f t="shared" si="12"/>
        <v>0</v>
      </c>
      <c r="J81" s="3" t="s">
        <v>56</v>
      </c>
      <c r="K81" s="21">
        <f t="shared" si="13"/>
        <v>0</v>
      </c>
      <c r="L81" s="3" t="s">
        <v>56</v>
      </c>
      <c r="M81" s="22">
        <f t="shared" si="14"/>
        <v>0</v>
      </c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">
      <c r="A82" s="1"/>
      <c r="B82" s="5"/>
      <c r="C82" s="2">
        <v>10</v>
      </c>
      <c r="D82" s="4" t="s">
        <v>67</v>
      </c>
      <c r="E82" s="21">
        <v>1</v>
      </c>
      <c r="F82" s="6" t="s">
        <v>65</v>
      </c>
      <c r="G82" s="21">
        <f t="shared" si="11"/>
        <v>0</v>
      </c>
      <c r="H82" s="3" t="s">
        <v>17</v>
      </c>
      <c r="I82" s="21">
        <f t="shared" si="12"/>
        <v>0</v>
      </c>
      <c r="J82" s="6" t="s">
        <v>65</v>
      </c>
      <c r="K82" s="21">
        <f t="shared" si="13"/>
        <v>0</v>
      </c>
      <c r="L82" s="6" t="s">
        <v>65</v>
      </c>
      <c r="M82" s="22">
        <f t="shared" si="14"/>
        <v>0</v>
      </c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">
      <c r="A83" s="1"/>
      <c r="B83" s="19"/>
      <c r="C83" s="2" t="s">
        <v>4</v>
      </c>
      <c r="D83" s="4" t="s">
        <v>21</v>
      </c>
      <c r="E83" s="21">
        <v>1</v>
      </c>
      <c r="F83" s="3" t="s">
        <v>21</v>
      </c>
      <c r="G83" s="21">
        <f t="shared" si="11"/>
        <v>1</v>
      </c>
      <c r="H83" s="3" t="s">
        <v>18</v>
      </c>
      <c r="I83" s="21">
        <f t="shared" si="12"/>
        <v>0</v>
      </c>
      <c r="J83" s="3" t="s">
        <v>12</v>
      </c>
      <c r="K83" s="21">
        <f t="shared" si="13"/>
        <v>0</v>
      </c>
      <c r="L83" s="3" t="s">
        <v>12</v>
      </c>
      <c r="M83" s="21">
        <f t="shared" si="14"/>
        <v>0</v>
      </c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">
      <c r="A84" s="1"/>
      <c r="B84" s="19"/>
      <c r="C84" s="2" t="s">
        <v>19</v>
      </c>
      <c r="D84" s="4"/>
      <c r="E84" s="21">
        <v>10</v>
      </c>
      <c r="F84" s="3" t="s">
        <v>66</v>
      </c>
      <c r="G84" s="21">
        <v>0</v>
      </c>
      <c r="H84" s="3" t="s">
        <v>63</v>
      </c>
      <c r="I84" s="21">
        <v>0</v>
      </c>
      <c r="J84" s="3" t="s">
        <v>62</v>
      </c>
      <c r="K84" s="21">
        <v>10</v>
      </c>
      <c r="L84" s="3" t="s">
        <v>62</v>
      </c>
      <c r="M84" s="22">
        <v>10</v>
      </c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">
      <c r="A85" s="1"/>
      <c r="B85" s="15"/>
      <c r="C85" s="16"/>
      <c r="D85" s="17"/>
      <c r="E85" s="20"/>
      <c r="F85" s="15"/>
      <c r="G85" s="20"/>
      <c r="H85" s="15"/>
      <c r="I85" s="20"/>
      <c r="J85" s="15"/>
      <c r="K85" s="20"/>
      <c r="L85" s="18"/>
      <c r="M85" s="20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">
      <c r="A86" s="1"/>
      <c r="B86" s="39"/>
      <c r="C86" s="40"/>
      <c r="D86" s="40" t="s">
        <v>16</v>
      </c>
      <c r="E86" s="41"/>
      <c r="F86" s="42"/>
      <c r="G86" s="41">
        <f>SUM(G73:G84)</f>
        <v>41</v>
      </c>
      <c r="H86" s="42"/>
      <c r="I86" s="41">
        <f>SUM(I73:I84)</f>
        <v>50</v>
      </c>
      <c r="J86" s="42"/>
      <c r="K86" s="41">
        <f>SUM(K73:K84)</f>
        <v>25</v>
      </c>
      <c r="L86" s="43"/>
      <c r="M86" s="41">
        <f>SUM(M73:M84)</f>
        <v>54</v>
      </c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">
      <c r="A87" s="1"/>
      <c r="B87" s="39"/>
      <c r="C87" s="40"/>
      <c r="D87" s="40" t="s">
        <v>5</v>
      </c>
      <c r="E87" s="41"/>
      <c r="F87" s="42"/>
      <c r="G87" s="41">
        <f>G86+G67</f>
        <v>78</v>
      </c>
      <c r="H87" s="42"/>
      <c r="I87" s="41">
        <f>I86+I67</f>
        <v>91</v>
      </c>
      <c r="J87" s="42"/>
      <c r="K87" s="41">
        <f>K86+K67</f>
        <v>106</v>
      </c>
      <c r="L87" s="43"/>
      <c r="M87" s="41">
        <f>M86+M67</f>
        <v>172</v>
      </c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4" x14ac:dyDescent="0.3">
      <c r="A89" s="1"/>
      <c r="B89" s="53" t="s">
        <v>30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1"/>
      <c r="O89" s="1"/>
      <c r="P89" s="1"/>
      <c r="Q89" s="1"/>
      <c r="R89" s="1"/>
      <c r="S89" s="1"/>
      <c r="T89" s="1"/>
      <c r="U89" s="1"/>
      <c r="V89" s="1"/>
    </row>
    <row r="90" spans="1:22" ht="19" x14ac:dyDescent="0.25">
      <c r="A90" s="1"/>
      <c r="B90" s="34"/>
      <c r="C90" s="35"/>
      <c r="D90" s="35"/>
      <c r="E90" s="36"/>
      <c r="F90" s="51" t="s">
        <v>0</v>
      </c>
      <c r="G90" s="52"/>
      <c r="H90" s="51" t="s">
        <v>1</v>
      </c>
      <c r="I90" s="52"/>
      <c r="J90" s="51" t="s">
        <v>2</v>
      </c>
      <c r="K90" s="52"/>
      <c r="L90" s="51" t="s">
        <v>3</v>
      </c>
      <c r="M90" s="52"/>
      <c r="N90" s="1"/>
      <c r="O90" s="1"/>
      <c r="P90" s="1"/>
      <c r="Q90" s="1"/>
      <c r="R90" s="1"/>
      <c r="S90" s="1"/>
      <c r="T90" s="1"/>
      <c r="U90" s="1"/>
      <c r="V90" s="1"/>
    </row>
    <row r="91" spans="1:22" ht="19" x14ac:dyDescent="0.25">
      <c r="A91" s="1"/>
      <c r="B91" s="49" t="s">
        <v>7</v>
      </c>
      <c r="C91" s="50"/>
      <c r="D91" s="50"/>
      <c r="E91" s="37" t="s">
        <v>6</v>
      </c>
      <c r="F91" s="38" t="s">
        <v>7</v>
      </c>
      <c r="G91" s="37" t="s">
        <v>6</v>
      </c>
      <c r="H91" s="38" t="s">
        <v>7</v>
      </c>
      <c r="I91" s="37" t="s">
        <v>6</v>
      </c>
      <c r="J91" s="38" t="s">
        <v>7</v>
      </c>
      <c r="K91" s="37" t="s">
        <v>6</v>
      </c>
      <c r="L91" s="38" t="s">
        <v>7</v>
      </c>
      <c r="M91" s="37" t="s">
        <v>6</v>
      </c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">
      <c r="A92" s="1"/>
      <c r="B92" s="9"/>
      <c r="C92" s="10"/>
      <c r="D92" s="11"/>
      <c r="E92" s="12"/>
      <c r="F92" s="13"/>
      <c r="G92" s="12"/>
      <c r="H92" s="13"/>
      <c r="I92" s="12"/>
      <c r="J92" s="13"/>
      <c r="K92" s="12"/>
      <c r="L92" s="14"/>
      <c r="M92" s="12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">
      <c r="A93" s="1"/>
      <c r="B93" s="5"/>
      <c r="C93" s="2">
        <v>1</v>
      </c>
      <c r="D93" s="4" t="s">
        <v>69</v>
      </c>
      <c r="E93" s="21">
        <v>25</v>
      </c>
      <c r="F93" s="3"/>
      <c r="G93" s="21">
        <f>IF(F93=$D93,$E93,0)</f>
        <v>0</v>
      </c>
      <c r="H93" s="3"/>
      <c r="I93" s="21">
        <f>IF(H93=$D93,$E93,0)</f>
        <v>0</v>
      </c>
      <c r="J93" s="3"/>
      <c r="K93" s="21">
        <f>IF(J93=$D93,$E93,0)</f>
        <v>0</v>
      </c>
      <c r="L93" s="3"/>
      <c r="M93" s="22">
        <f>IF(L93=$D93,$E93,0)</f>
        <v>0</v>
      </c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">
      <c r="A94" s="1"/>
      <c r="B94" s="5"/>
      <c r="C94" s="2">
        <v>2</v>
      </c>
      <c r="D94" s="4" t="s">
        <v>69</v>
      </c>
      <c r="E94" s="21">
        <v>18</v>
      </c>
      <c r="F94" s="3"/>
      <c r="G94" s="21">
        <f t="shared" ref="G94:G104" si="15">IF(F94=$D94,$E94,0)</f>
        <v>0</v>
      </c>
      <c r="H94" s="3"/>
      <c r="I94" s="21">
        <f t="shared" ref="I94:I104" si="16">IF(H94=$D94,$E94,0)</f>
        <v>0</v>
      </c>
      <c r="J94" s="3"/>
      <c r="K94" s="21">
        <f t="shared" ref="K94:K104" si="17">IF(J94=$D94,$E94,0)</f>
        <v>0</v>
      </c>
      <c r="L94" s="3"/>
      <c r="M94" s="22">
        <f t="shared" ref="M94:M104" si="18">IF(L94=$D94,$E94,0)</f>
        <v>0</v>
      </c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">
      <c r="A95" s="1"/>
      <c r="B95" s="5"/>
      <c r="C95" s="2">
        <v>3</v>
      </c>
      <c r="D95" s="4" t="s">
        <v>69</v>
      </c>
      <c r="E95" s="21">
        <v>15</v>
      </c>
      <c r="F95" s="3"/>
      <c r="G95" s="21">
        <f t="shared" si="15"/>
        <v>0</v>
      </c>
      <c r="H95" s="3"/>
      <c r="I95" s="21">
        <f t="shared" si="16"/>
        <v>0</v>
      </c>
      <c r="J95" s="3"/>
      <c r="K95" s="21">
        <f t="shared" si="17"/>
        <v>0</v>
      </c>
      <c r="L95" s="3"/>
      <c r="M95" s="22">
        <f t="shared" si="18"/>
        <v>0</v>
      </c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">
      <c r="A96" s="1"/>
      <c r="B96" s="5"/>
      <c r="C96" s="2">
        <v>4</v>
      </c>
      <c r="D96" s="4" t="s">
        <v>69</v>
      </c>
      <c r="E96" s="21">
        <v>12</v>
      </c>
      <c r="F96" s="3"/>
      <c r="G96" s="21">
        <f t="shared" si="15"/>
        <v>0</v>
      </c>
      <c r="H96" s="3"/>
      <c r="I96" s="21">
        <f t="shared" si="16"/>
        <v>0</v>
      </c>
      <c r="J96" s="3"/>
      <c r="K96" s="21">
        <f t="shared" si="17"/>
        <v>0</v>
      </c>
      <c r="L96" s="3"/>
      <c r="M96" s="22">
        <f t="shared" si="18"/>
        <v>0</v>
      </c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">
      <c r="A97" s="1"/>
      <c r="B97" s="5"/>
      <c r="C97" s="2">
        <v>5</v>
      </c>
      <c r="D97" s="4" t="s">
        <v>69</v>
      </c>
      <c r="E97" s="21">
        <v>10</v>
      </c>
      <c r="F97" s="3"/>
      <c r="G97" s="21">
        <f t="shared" si="15"/>
        <v>0</v>
      </c>
      <c r="H97" s="3"/>
      <c r="I97" s="21">
        <f t="shared" si="16"/>
        <v>0</v>
      </c>
      <c r="J97" s="3"/>
      <c r="K97" s="21">
        <f t="shared" si="17"/>
        <v>0</v>
      </c>
      <c r="L97" s="3"/>
      <c r="M97" s="22">
        <f t="shared" si="18"/>
        <v>0</v>
      </c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">
      <c r="A98" s="1"/>
      <c r="B98" s="5"/>
      <c r="C98" s="2">
        <v>6</v>
      </c>
      <c r="D98" s="4" t="s">
        <v>69</v>
      </c>
      <c r="E98" s="21">
        <v>8</v>
      </c>
      <c r="F98" s="3"/>
      <c r="G98" s="21">
        <f t="shared" si="15"/>
        <v>0</v>
      </c>
      <c r="H98" s="3"/>
      <c r="I98" s="21">
        <f t="shared" si="16"/>
        <v>0</v>
      </c>
      <c r="J98" s="3"/>
      <c r="K98" s="21">
        <f t="shared" si="17"/>
        <v>0</v>
      </c>
      <c r="L98" s="3"/>
      <c r="M98" s="22">
        <f t="shared" si="18"/>
        <v>0</v>
      </c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">
      <c r="A99" s="1"/>
      <c r="B99" s="5"/>
      <c r="C99" s="2">
        <v>7</v>
      </c>
      <c r="D99" s="4" t="s">
        <v>69</v>
      </c>
      <c r="E99" s="21">
        <v>6</v>
      </c>
      <c r="F99" s="3"/>
      <c r="G99" s="21">
        <f t="shared" si="15"/>
        <v>0</v>
      </c>
      <c r="H99" s="3"/>
      <c r="I99" s="21">
        <f t="shared" si="16"/>
        <v>0</v>
      </c>
      <c r="J99" s="3"/>
      <c r="K99" s="21">
        <f t="shared" si="17"/>
        <v>0</v>
      </c>
      <c r="L99" s="3"/>
      <c r="M99" s="22">
        <f t="shared" si="18"/>
        <v>0</v>
      </c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">
      <c r="A100" s="1"/>
      <c r="B100" s="5"/>
      <c r="C100" s="2">
        <v>8</v>
      </c>
      <c r="D100" s="4" t="s">
        <v>69</v>
      </c>
      <c r="E100" s="21">
        <v>4</v>
      </c>
      <c r="F100" s="3"/>
      <c r="G100" s="21">
        <f t="shared" si="15"/>
        <v>0</v>
      </c>
      <c r="H100" s="3"/>
      <c r="I100" s="21">
        <f t="shared" si="16"/>
        <v>0</v>
      </c>
      <c r="J100" s="3"/>
      <c r="K100" s="21">
        <f t="shared" si="17"/>
        <v>0</v>
      </c>
      <c r="L100" s="3"/>
      <c r="M100" s="22">
        <f t="shared" si="18"/>
        <v>0</v>
      </c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">
      <c r="A101" s="1"/>
      <c r="B101" s="5"/>
      <c r="C101" s="2">
        <v>9</v>
      </c>
      <c r="D101" s="4" t="s">
        <v>69</v>
      </c>
      <c r="E101" s="21">
        <v>2</v>
      </c>
      <c r="F101" s="3"/>
      <c r="G101" s="21">
        <f t="shared" si="15"/>
        <v>0</v>
      </c>
      <c r="H101" s="3"/>
      <c r="I101" s="21">
        <f t="shared" si="16"/>
        <v>0</v>
      </c>
      <c r="J101" s="3"/>
      <c r="K101" s="21">
        <f t="shared" si="17"/>
        <v>0</v>
      </c>
      <c r="L101" s="3"/>
      <c r="M101" s="22">
        <f t="shared" si="18"/>
        <v>0</v>
      </c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">
      <c r="A102" s="1"/>
      <c r="B102" s="5"/>
      <c r="C102" s="2">
        <v>10</v>
      </c>
      <c r="D102" s="4" t="s">
        <v>69</v>
      </c>
      <c r="E102" s="21">
        <v>1</v>
      </c>
      <c r="F102" s="3"/>
      <c r="G102" s="21">
        <f t="shared" si="15"/>
        <v>0</v>
      </c>
      <c r="H102" s="3"/>
      <c r="I102" s="21">
        <f t="shared" si="16"/>
        <v>0</v>
      </c>
      <c r="J102" s="3"/>
      <c r="K102" s="21">
        <f t="shared" si="17"/>
        <v>0</v>
      </c>
      <c r="L102" s="6"/>
      <c r="M102" s="22">
        <f t="shared" si="18"/>
        <v>0</v>
      </c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">
      <c r="A103" s="1"/>
      <c r="B103" s="19"/>
      <c r="C103" s="2" t="s">
        <v>4</v>
      </c>
      <c r="D103" s="4" t="s">
        <v>69</v>
      </c>
      <c r="E103" s="21">
        <v>1</v>
      </c>
      <c r="F103" s="3"/>
      <c r="G103" s="21">
        <f t="shared" si="15"/>
        <v>0</v>
      </c>
      <c r="H103" s="3"/>
      <c r="I103" s="21">
        <f t="shared" si="16"/>
        <v>0</v>
      </c>
      <c r="J103" s="3"/>
      <c r="K103" s="21">
        <f t="shared" si="17"/>
        <v>0</v>
      </c>
      <c r="L103" s="3"/>
      <c r="M103" s="21">
        <f t="shared" si="18"/>
        <v>0</v>
      </c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">
      <c r="A104" s="1"/>
      <c r="B104" s="19"/>
      <c r="C104" s="2" t="s">
        <v>19</v>
      </c>
      <c r="D104" s="4" t="s">
        <v>69</v>
      </c>
      <c r="E104" s="21">
        <v>10</v>
      </c>
      <c r="F104" s="3"/>
      <c r="G104" s="21">
        <f t="shared" si="15"/>
        <v>0</v>
      </c>
      <c r="H104" s="3"/>
      <c r="I104" s="21">
        <f t="shared" si="16"/>
        <v>0</v>
      </c>
      <c r="J104" s="3"/>
      <c r="K104" s="21">
        <f t="shared" si="17"/>
        <v>0</v>
      </c>
      <c r="L104" s="3"/>
      <c r="M104" s="22">
        <f t="shared" si="18"/>
        <v>0</v>
      </c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">
      <c r="A105" s="1"/>
      <c r="B105" s="15"/>
      <c r="C105" s="16"/>
      <c r="D105" s="17"/>
      <c r="E105" s="20"/>
      <c r="F105" s="15"/>
      <c r="G105" s="20"/>
      <c r="H105" s="15"/>
      <c r="I105" s="20"/>
      <c r="J105" s="15"/>
      <c r="K105" s="20"/>
      <c r="L105" s="18"/>
      <c r="M105" s="20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">
      <c r="A106" s="1"/>
      <c r="B106" s="39"/>
      <c r="C106" s="40"/>
      <c r="D106" s="40" t="s">
        <v>16</v>
      </c>
      <c r="E106" s="41"/>
      <c r="F106" s="42"/>
      <c r="G106" s="41">
        <f>SUM(G93:G104)</f>
        <v>0</v>
      </c>
      <c r="H106" s="42"/>
      <c r="I106" s="41">
        <f>SUM(I93:I104)</f>
        <v>0</v>
      </c>
      <c r="J106" s="42"/>
      <c r="K106" s="41">
        <f>SUM(K93:K104)</f>
        <v>0</v>
      </c>
      <c r="L106" s="43"/>
      <c r="M106" s="41">
        <f>SUM(M93:M104)</f>
        <v>0</v>
      </c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">
      <c r="A107" s="1"/>
      <c r="B107" s="39"/>
      <c r="C107" s="40"/>
      <c r="D107" s="40" t="s">
        <v>5</v>
      </c>
      <c r="E107" s="41"/>
      <c r="F107" s="42"/>
      <c r="G107" s="41">
        <f>G106+G87</f>
        <v>78</v>
      </c>
      <c r="H107" s="42"/>
      <c r="I107" s="41">
        <f>I106+I87</f>
        <v>91</v>
      </c>
      <c r="J107" s="42"/>
      <c r="K107" s="41">
        <f>K106+K87</f>
        <v>106</v>
      </c>
      <c r="L107" s="43"/>
      <c r="M107" s="41">
        <f>M106+M87</f>
        <v>172</v>
      </c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4" x14ac:dyDescent="0.3">
      <c r="A109" s="1"/>
      <c r="B109" s="53" t="s">
        <v>31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9" x14ac:dyDescent="0.25">
      <c r="A110" s="1"/>
      <c r="B110" s="34"/>
      <c r="C110" s="35"/>
      <c r="D110" s="35"/>
      <c r="E110" s="36"/>
      <c r="F110" s="51" t="s">
        <v>0</v>
      </c>
      <c r="G110" s="52"/>
      <c r="H110" s="51" t="s">
        <v>1</v>
      </c>
      <c r="I110" s="52"/>
      <c r="J110" s="51" t="s">
        <v>2</v>
      </c>
      <c r="K110" s="52"/>
      <c r="L110" s="51" t="s">
        <v>3</v>
      </c>
      <c r="M110" s="52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9" x14ac:dyDescent="0.25">
      <c r="A111" s="1"/>
      <c r="B111" s="49" t="s">
        <v>7</v>
      </c>
      <c r="C111" s="50"/>
      <c r="D111" s="50"/>
      <c r="E111" s="37" t="s">
        <v>6</v>
      </c>
      <c r="F111" s="38" t="s">
        <v>7</v>
      </c>
      <c r="G111" s="37" t="s">
        <v>6</v>
      </c>
      <c r="H111" s="38" t="s">
        <v>7</v>
      </c>
      <c r="I111" s="37" t="s">
        <v>6</v>
      </c>
      <c r="J111" s="38" t="s">
        <v>7</v>
      </c>
      <c r="K111" s="37" t="s">
        <v>6</v>
      </c>
      <c r="L111" s="38" t="s">
        <v>7</v>
      </c>
      <c r="M111" s="37" t="s">
        <v>6</v>
      </c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">
      <c r="A112" s="1"/>
      <c r="B112" s="9"/>
      <c r="C112" s="10"/>
      <c r="D112" s="11"/>
      <c r="E112" s="12"/>
      <c r="F112" s="13"/>
      <c r="G112" s="12"/>
      <c r="H112" s="13"/>
      <c r="I112" s="12"/>
      <c r="J112" s="13"/>
      <c r="K112" s="12"/>
      <c r="L112" s="14"/>
      <c r="M112" s="12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">
      <c r="A113" s="1"/>
      <c r="B113" s="5"/>
      <c r="C113" s="2">
        <v>1</v>
      </c>
      <c r="D113" s="4" t="s">
        <v>68</v>
      </c>
      <c r="E113" s="21">
        <v>25</v>
      </c>
      <c r="F113" s="3"/>
      <c r="G113" s="21">
        <f>IF(F113=$D113,$E113,0)</f>
        <v>0</v>
      </c>
      <c r="H113" s="3"/>
      <c r="I113" s="21">
        <f>IF(H113=$D113,$E113,0)</f>
        <v>0</v>
      </c>
      <c r="J113" s="3"/>
      <c r="K113" s="21">
        <f>IF(J113=$D113,$E113,0)</f>
        <v>0</v>
      </c>
      <c r="L113" s="3"/>
      <c r="M113" s="22">
        <f>IF(L113=$D113,$E113,0)</f>
        <v>0</v>
      </c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">
      <c r="A114" s="1"/>
      <c r="B114" s="5"/>
      <c r="C114" s="2">
        <v>2</v>
      </c>
      <c r="D114" s="4" t="s">
        <v>68</v>
      </c>
      <c r="E114" s="21">
        <v>18</v>
      </c>
      <c r="F114" s="3"/>
      <c r="G114" s="21">
        <f t="shared" ref="G114:G124" si="19">IF(F114=$D114,$E114,0)</f>
        <v>0</v>
      </c>
      <c r="H114" s="3"/>
      <c r="I114" s="21">
        <f t="shared" ref="I114:I124" si="20">IF(H114=$D114,$E114,0)</f>
        <v>0</v>
      </c>
      <c r="J114" s="3"/>
      <c r="K114" s="21">
        <f t="shared" ref="K114:K124" si="21">IF(J114=$D114,$E114,0)</f>
        <v>0</v>
      </c>
      <c r="L114" s="3"/>
      <c r="M114" s="22">
        <f t="shared" ref="M114:M124" si="22">IF(L114=$D114,$E114,0)</f>
        <v>0</v>
      </c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">
      <c r="A115" s="1"/>
      <c r="B115" s="5"/>
      <c r="C115" s="2">
        <v>3</v>
      </c>
      <c r="D115" s="4" t="s">
        <v>68</v>
      </c>
      <c r="E115" s="21">
        <v>15</v>
      </c>
      <c r="F115" s="3"/>
      <c r="G115" s="21">
        <f t="shared" si="19"/>
        <v>0</v>
      </c>
      <c r="H115" s="3"/>
      <c r="I115" s="21">
        <f t="shared" si="20"/>
        <v>0</v>
      </c>
      <c r="J115" s="3"/>
      <c r="K115" s="21">
        <f t="shared" si="21"/>
        <v>0</v>
      </c>
      <c r="L115" s="3"/>
      <c r="M115" s="22">
        <f t="shared" si="22"/>
        <v>0</v>
      </c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">
      <c r="A116" s="1"/>
      <c r="B116" s="5"/>
      <c r="C116" s="2">
        <v>4</v>
      </c>
      <c r="D116" s="4" t="s">
        <v>68</v>
      </c>
      <c r="E116" s="21">
        <v>12</v>
      </c>
      <c r="F116" s="3"/>
      <c r="G116" s="21">
        <f t="shared" si="19"/>
        <v>0</v>
      </c>
      <c r="H116" s="3"/>
      <c r="I116" s="21">
        <f t="shared" si="20"/>
        <v>0</v>
      </c>
      <c r="J116" s="3"/>
      <c r="K116" s="21">
        <f t="shared" si="21"/>
        <v>0</v>
      </c>
      <c r="L116" s="3"/>
      <c r="M116" s="22">
        <f t="shared" si="22"/>
        <v>0</v>
      </c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">
      <c r="A117" s="1"/>
      <c r="B117" s="5"/>
      <c r="C117" s="2">
        <v>5</v>
      </c>
      <c r="D117" s="4" t="s">
        <v>68</v>
      </c>
      <c r="E117" s="21">
        <v>10</v>
      </c>
      <c r="F117" s="3"/>
      <c r="G117" s="21">
        <f t="shared" si="19"/>
        <v>0</v>
      </c>
      <c r="H117" s="3"/>
      <c r="I117" s="21">
        <f t="shared" si="20"/>
        <v>0</v>
      </c>
      <c r="J117" s="3"/>
      <c r="K117" s="21">
        <f t="shared" si="21"/>
        <v>0</v>
      </c>
      <c r="L117" s="3"/>
      <c r="M117" s="22">
        <f t="shared" si="22"/>
        <v>0</v>
      </c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">
      <c r="A118" s="1"/>
      <c r="B118" s="5"/>
      <c r="C118" s="2">
        <v>6</v>
      </c>
      <c r="D118" s="4" t="s">
        <v>68</v>
      </c>
      <c r="E118" s="21">
        <v>8</v>
      </c>
      <c r="F118" s="3"/>
      <c r="G118" s="21">
        <f t="shared" si="19"/>
        <v>0</v>
      </c>
      <c r="H118" s="3"/>
      <c r="I118" s="21">
        <f t="shared" si="20"/>
        <v>0</v>
      </c>
      <c r="J118" s="3"/>
      <c r="K118" s="21">
        <f t="shared" si="21"/>
        <v>0</v>
      </c>
      <c r="L118" s="3"/>
      <c r="M118" s="22">
        <f t="shared" si="22"/>
        <v>0</v>
      </c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">
      <c r="A119" s="1"/>
      <c r="B119" s="5"/>
      <c r="C119" s="2">
        <v>7</v>
      </c>
      <c r="D119" s="4" t="s">
        <v>68</v>
      </c>
      <c r="E119" s="21">
        <v>6</v>
      </c>
      <c r="F119" s="3"/>
      <c r="G119" s="21">
        <f t="shared" si="19"/>
        <v>0</v>
      </c>
      <c r="H119" s="3"/>
      <c r="I119" s="21">
        <f t="shared" si="20"/>
        <v>0</v>
      </c>
      <c r="J119" s="3"/>
      <c r="K119" s="21">
        <f t="shared" si="21"/>
        <v>0</v>
      </c>
      <c r="L119" s="3"/>
      <c r="M119" s="22">
        <f t="shared" si="22"/>
        <v>0</v>
      </c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">
      <c r="A120" s="1"/>
      <c r="B120" s="5"/>
      <c r="C120" s="2">
        <v>8</v>
      </c>
      <c r="D120" s="4" t="s">
        <v>68</v>
      </c>
      <c r="E120" s="21">
        <v>4</v>
      </c>
      <c r="F120" s="3"/>
      <c r="G120" s="21">
        <f t="shared" si="19"/>
        <v>0</v>
      </c>
      <c r="H120" s="3"/>
      <c r="I120" s="21">
        <f t="shared" si="20"/>
        <v>0</v>
      </c>
      <c r="J120" s="3"/>
      <c r="K120" s="21">
        <f t="shared" si="21"/>
        <v>0</v>
      </c>
      <c r="L120" s="3"/>
      <c r="M120" s="22">
        <f t="shared" si="22"/>
        <v>0</v>
      </c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">
      <c r="A121" s="1"/>
      <c r="B121" s="5"/>
      <c r="C121" s="2">
        <v>9</v>
      </c>
      <c r="D121" s="4" t="s">
        <v>68</v>
      </c>
      <c r="E121" s="21">
        <v>2</v>
      </c>
      <c r="F121" s="3"/>
      <c r="G121" s="21">
        <f t="shared" si="19"/>
        <v>0</v>
      </c>
      <c r="H121" s="3"/>
      <c r="I121" s="21">
        <f t="shared" si="20"/>
        <v>0</v>
      </c>
      <c r="J121" s="3"/>
      <c r="K121" s="21">
        <f t="shared" si="21"/>
        <v>0</v>
      </c>
      <c r="L121" s="3"/>
      <c r="M121" s="22">
        <f t="shared" si="22"/>
        <v>0</v>
      </c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">
      <c r="A122" s="1"/>
      <c r="B122" s="5"/>
      <c r="C122" s="2">
        <v>10</v>
      </c>
      <c r="D122" s="4" t="s">
        <v>68</v>
      </c>
      <c r="E122" s="21">
        <v>1</v>
      </c>
      <c r="F122" s="3"/>
      <c r="G122" s="21">
        <f t="shared" si="19"/>
        <v>0</v>
      </c>
      <c r="H122" s="6"/>
      <c r="I122" s="21">
        <f t="shared" si="20"/>
        <v>0</v>
      </c>
      <c r="J122" s="3"/>
      <c r="K122" s="21">
        <f t="shared" si="21"/>
        <v>0</v>
      </c>
      <c r="L122" s="6"/>
      <c r="M122" s="22">
        <f t="shared" si="22"/>
        <v>0</v>
      </c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">
      <c r="A123" s="1"/>
      <c r="B123" s="19"/>
      <c r="C123" s="2" t="s">
        <v>4</v>
      </c>
      <c r="D123" s="4" t="s">
        <v>68</v>
      </c>
      <c r="E123" s="21">
        <v>1</v>
      </c>
      <c r="F123" s="3"/>
      <c r="G123" s="21">
        <f t="shared" si="19"/>
        <v>0</v>
      </c>
      <c r="H123" s="3"/>
      <c r="I123" s="21">
        <f t="shared" si="20"/>
        <v>0</v>
      </c>
      <c r="J123" s="3"/>
      <c r="K123" s="21">
        <f t="shared" si="21"/>
        <v>0</v>
      </c>
      <c r="L123" s="3"/>
      <c r="M123" s="21">
        <f t="shared" si="22"/>
        <v>0</v>
      </c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">
      <c r="A124" s="1"/>
      <c r="B124" s="19"/>
      <c r="C124" s="2" t="s">
        <v>19</v>
      </c>
      <c r="D124" s="4" t="s">
        <v>68</v>
      </c>
      <c r="E124" s="21">
        <v>10</v>
      </c>
      <c r="F124" s="3"/>
      <c r="G124" s="21">
        <f t="shared" si="19"/>
        <v>0</v>
      </c>
      <c r="H124" s="3"/>
      <c r="I124" s="21">
        <f t="shared" si="20"/>
        <v>0</v>
      </c>
      <c r="J124" s="3"/>
      <c r="K124" s="21">
        <f t="shared" si="21"/>
        <v>0</v>
      </c>
      <c r="L124" s="3"/>
      <c r="M124" s="22">
        <f t="shared" si="22"/>
        <v>0</v>
      </c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">
      <c r="A125" s="1"/>
      <c r="B125" s="15"/>
      <c r="C125" s="16"/>
      <c r="D125" s="17"/>
      <c r="E125" s="20"/>
      <c r="F125" s="15"/>
      <c r="G125" s="20"/>
      <c r="H125" s="15"/>
      <c r="I125" s="20"/>
      <c r="J125" s="15"/>
      <c r="K125" s="20"/>
      <c r="L125" s="18"/>
      <c r="M125" s="20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">
      <c r="A126" s="1"/>
      <c r="B126" s="39"/>
      <c r="C126" s="40"/>
      <c r="D126" s="40" t="s">
        <v>16</v>
      </c>
      <c r="E126" s="41"/>
      <c r="F126" s="42"/>
      <c r="G126" s="41">
        <f>SUM(G113:G124)</f>
        <v>0</v>
      </c>
      <c r="H126" s="42"/>
      <c r="I126" s="41">
        <f>SUM(I113:I124)</f>
        <v>0</v>
      </c>
      <c r="J126" s="42"/>
      <c r="K126" s="41">
        <f>SUM(K113:K124)</f>
        <v>0</v>
      </c>
      <c r="L126" s="43"/>
      <c r="M126" s="41">
        <f>SUM(M113:M124)</f>
        <v>0</v>
      </c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">
      <c r="A127" s="1"/>
      <c r="B127" s="39"/>
      <c r="C127" s="40"/>
      <c r="D127" s="40" t="s">
        <v>5</v>
      </c>
      <c r="E127" s="41"/>
      <c r="F127" s="42"/>
      <c r="G127" s="41">
        <f>G126+G107</f>
        <v>78</v>
      </c>
      <c r="H127" s="42"/>
      <c r="I127" s="41">
        <f>I126+I107</f>
        <v>91</v>
      </c>
      <c r="J127" s="42"/>
      <c r="K127" s="41">
        <f>K126+K107</f>
        <v>106</v>
      </c>
      <c r="L127" s="43"/>
      <c r="M127" s="41">
        <f>M126+M107</f>
        <v>172</v>
      </c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4" x14ac:dyDescent="0.3">
      <c r="A129" s="1"/>
      <c r="B129" s="53" t="s">
        <v>32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9" x14ac:dyDescent="0.25">
      <c r="A130" s="1"/>
      <c r="B130" s="34"/>
      <c r="C130" s="35"/>
      <c r="D130" s="35"/>
      <c r="E130" s="36"/>
      <c r="F130" s="51" t="s">
        <v>0</v>
      </c>
      <c r="G130" s="52"/>
      <c r="H130" s="51" t="s">
        <v>1</v>
      </c>
      <c r="I130" s="52"/>
      <c r="J130" s="51" t="s">
        <v>2</v>
      </c>
      <c r="K130" s="52"/>
      <c r="L130" s="51" t="s">
        <v>3</v>
      </c>
      <c r="M130" s="52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9" x14ac:dyDescent="0.25">
      <c r="A131" s="1"/>
      <c r="B131" s="49" t="s">
        <v>7</v>
      </c>
      <c r="C131" s="50"/>
      <c r="D131" s="50"/>
      <c r="E131" s="37" t="s">
        <v>6</v>
      </c>
      <c r="F131" s="38" t="s">
        <v>7</v>
      </c>
      <c r="G131" s="37" t="s">
        <v>6</v>
      </c>
      <c r="H131" s="38" t="s">
        <v>7</v>
      </c>
      <c r="I131" s="37" t="s">
        <v>6</v>
      </c>
      <c r="J131" s="38" t="s">
        <v>7</v>
      </c>
      <c r="K131" s="37" t="s">
        <v>6</v>
      </c>
      <c r="L131" s="38" t="s">
        <v>7</v>
      </c>
      <c r="M131" s="37" t="s">
        <v>6</v>
      </c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">
      <c r="A132" s="1"/>
      <c r="B132" s="9"/>
      <c r="C132" s="10"/>
      <c r="D132" s="11"/>
      <c r="E132" s="12"/>
      <c r="F132" s="13"/>
      <c r="G132" s="12"/>
      <c r="H132" s="13"/>
      <c r="I132" s="12"/>
      <c r="J132" s="13"/>
      <c r="K132" s="12"/>
      <c r="L132" s="14"/>
      <c r="M132" s="12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">
      <c r="A133" s="1"/>
      <c r="B133" s="5"/>
      <c r="C133" s="2">
        <v>1</v>
      </c>
      <c r="D133" s="4" t="s">
        <v>14</v>
      </c>
      <c r="E133" s="21">
        <v>8</v>
      </c>
      <c r="F133" s="3" t="s">
        <v>21</v>
      </c>
      <c r="G133" s="21">
        <f>IF(F133=$D133,$E133,0)</f>
        <v>0</v>
      </c>
      <c r="H133" s="3" t="s">
        <v>14</v>
      </c>
      <c r="I133" s="21">
        <f>IF(H133=$D133,$E133,0)</f>
        <v>8</v>
      </c>
      <c r="J133" s="3" t="s">
        <v>21</v>
      </c>
      <c r="K133" s="21">
        <f>IF(J133=$D133,$E133,0)</f>
        <v>0</v>
      </c>
      <c r="L133" s="3" t="s">
        <v>14</v>
      </c>
      <c r="M133" s="22">
        <f>IF(L133=$D133,$E133,0)</f>
        <v>8</v>
      </c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">
      <c r="A134" s="1"/>
      <c r="B134" s="5"/>
      <c r="C134" s="2">
        <v>2</v>
      </c>
      <c r="D134" s="4" t="s">
        <v>18</v>
      </c>
      <c r="E134" s="21">
        <v>7</v>
      </c>
      <c r="F134" s="3" t="s">
        <v>14</v>
      </c>
      <c r="G134" s="21">
        <f t="shared" ref="G134:G143" si="23">IF(F134=$D134,$E134,0)</f>
        <v>0</v>
      </c>
      <c r="H134" s="3" t="s">
        <v>9</v>
      </c>
      <c r="I134" s="21">
        <f t="shared" ref="I134:I143" si="24">IF(H134=$D134,$E134,0)</f>
        <v>0</v>
      </c>
      <c r="J134" s="3" t="s">
        <v>14</v>
      </c>
      <c r="K134" s="21">
        <f t="shared" ref="K134:K143" si="25">IF(J134=$D134,$E134,0)</f>
        <v>0</v>
      </c>
      <c r="L134" s="3" t="s">
        <v>21</v>
      </c>
      <c r="M134" s="22">
        <f t="shared" ref="M134:M143" si="26">IF(L134=$D134,$E134,0)</f>
        <v>0</v>
      </c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">
      <c r="A135" s="1"/>
      <c r="B135" s="5"/>
      <c r="C135" s="2">
        <v>3</v>
      </c>
      <c r="D135" s="4" t="s">
        <v>9</v>
      </c>
      <c r="E135" s="21">
        <v>6</v>
      </c>
      <c r="F135" s="3" t="s">
        <v>18</v>
      </c>
      <c r="G135" s="21">
        <f t="shared" si="23"/>
        <v>0</v>
      </c>
      <c r="H135" s="3" t="s">
        <v>21</v>
      </c>
      <c r="I135" s="21">
        <f t="shared" si="24"/>
        <v>0</v>
      </c>
      <c r="J135" s="3" t="s">
        <v>18</v>
      </c>
      <c r="K135" s="21">
        <f t="shared" si="25"/>
        <v>0</v>
      </c>
      <c r="L135" s="3" t="s">
        <v>18</v>
      </c>
      <c r="M135" s="22">
        <f t="shared" si="26"/>
        <v>0</v>
      </c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">
      <c r="A136" s="1"/>
      <c r="B136" s="5"/>
      <c r="C136" s="2">
        <v>4</v>
      </c>
      <c r="D136" s="4" t="s">
        <v>12</v>
      </c>
      <c r="E136" s="21">
        <v>5</v>
      </c>
      <c r="F136" s="3" t="s">
        <v>12</v>
      </c>
      <c r="G136" s="21">
        <f t="shared" si="23"/>
        <v>5</v>
      </c>
      <c r="H136" s="3" t="s">
        <v>18</v>
      </c>
      <c r="I136" s="21">
        <f t="shared" si="24"/>
        <v>0</v>
      </c>
      <c r="J136" s="3" t="s">
        <v>9</v>
      </c>
      <c r="K136" s="21">
        <f t="shared" si="25"/>
        <v>0</v>
      </c>
      <c r="L136" s="3" t="s">
        <v>9</v>
      </c>
      <c r="M136" s="22">
        <f t="shared" si="26"/>
        <v>0</v>
      </c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">
      <c r="A137" s="1"/>
      <c r="B137" s="5"/>
      <c r="C137" s="2">
        <v>5</v>
      </c>
      <c r="D137" s="4" t="s">
        <v>8</v>
      </c>
      <c r="E137" s="21">
        <v>4</v>
      </c>
      <c r="F137" s="3" t="s">
        <v>9</v>
      </c>
      <c r="G137" s="21">
        <f t="shared" si="23"/>
        <v>0</v>
      </c>
      <c r="H137" s="3" t="s">
        <v>8</v>
      </c>
      <c r="I137" s="21">
        <f t="shared" si="24"/>
        <v>4</v>
      </c>
      <c r="J137" s="3" t="s">
        <v>12</v>
      </c>
      <c r="K137" s="21">
        <f t="shared" si="25"/>
        <v>0</v>
      </c>
      <c r="L137" s="3" t="s">
        <v>12</v>
      </c>
      <c r="M137" s="22">
        <f t="shared" si="26"/>
        <v>0</v>
      </c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">
      <c r="A138" s="1"/>
      <c r="B138" s="5"/>
      <c r="C138" s="2">
        <v>6</v>
      </c>
      <c r="D138" s="4" t="s">
        <v>21</v>
      </c>
      <c r="E138" s="21">
        <v>3</v>
      </c>
      <c r="F138" s="3" t="s">
        <v>8</v>
      </c>
      <c r="G138" s="21">
        <f t="shared" si="23"/>
        <v>0</v>
      </c>
      <c r="H138" s="3" t="s">
        <v>12</v>
      </c>
      <c r="I138" s="21">
        <f t="shared" si="24"/>
        <v>0</v>
      </c>
      <c r="J138" s="3" t="s">
        <v>8</v>
      </c>
      <c r="K138" s="21">
        <f t="shared" si="25"/>
        <v>0</v>
      </c>
      <c r="L138" s="3" t="s">
        <v>8</v>
      </c>
      <c r="M138" s="22">
        <f t="shared" si="26"/>
        <v>0</v>
      </c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">
      <c r="A139" s="1"/>
      <c r="B139" s="5"/>
      <c r="C139" s="2">
        <v>7</v>
      </c>
      <c r="D139" s="4" t="s">
        <v>10</v>
      </c>
      <c r="E139" s="21">
        <v>2</v>
      </c>
      <c r="F139" s="3" t="s">
        <v>10</v>
      </c>
      <c r="G139" s="21">
        <f t="shared" si="23"/>
        <v>2</v>
      </c>
      <c r="H139" s="3" t="s">
        <v>10</v>
      </c>
      <c r="I139" s="21">
        <f t="shared" si="24"/>
        <v>2</v>
      </c>
      <c r="J139" s="3" t="s">
        <v>10</v>
      </c>
      <c r="K139" s="21">
        <f t="shared" si="25"/>
        <v>2</v>
      </c>
      <c r="L139" s="3" t="s">
        <v>10</v>
      </c>
      <c r="M139" s="22">
        <f t="shared" si="26"/>
        <v>2</v>
      </c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">
      <c r="A140" s="1"/>
      <c r="B140" s="5"/>
      <c r="C140" s="2">
        <v>8</v>
      </c>
      <c r="D140" s="4" t="s">
        <v>56</v>
      </c>
      <c r="E140" s="21">
        <v>1</v>
      </c>
      <c r="F140" s="3" t="s">
        <v>22</v>
      </c>
      <c r="G140" s="21">
        <f t="shared" si="23"/>
        <v>0</v>
      </c>
      <c r="H140" s="3" t="s">
        <v>64</v>
      </c>
      <c r="I140" s="21">
        <f t="shared" si="24"/>
        <v>0</v>
      </c>
      <c r="J140" s="3" t="s">
        <v>22</v>
      </c>
      <c r="K140" s="21">
        <f t="shared" si="25"/>
        <v>0</v>
      </c>
      <c r="L140" s="3" t="s">
        <v>22</v>
      </c>
      <c r="M140" s="22">
        <f t="shared" si="26"/>
        <v>0</v>
      </c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">
      <c r="A141" s="1"/>
      <c r="B141" s="5"/>
      <c r="C141" s="2"/>
      <c r="D141" s="4"/>
      <c r="E141" s="21">
        <v>0</v>
      </c>
      <c r="F141" s="3"/>
      <c r="G141" s="21">
        <f t="shared" si="23"/>
        <v>0</v>
      </c>
      <c r="H141" s="3"/>
      <c r="I141" s="21">
        <f t="shared" si="24"/>
        <v>0</v>
      </c>
      <c r="J141" s="3"/>
      <c r="K141" s="21">
        <f t="shared" si="25"/>
        <v>0</v>
      </c>
      <c r="L141" s="3"/>
      <c r="M141" s="22">
        <f t="shared" si="26"/>
        <v>0</v>
      </c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">
      <c r="A142" s="1"/>
      <c r="B142" s="5"/>
      <c r="C142" s="2"/>
      <c r="D142" s="4"/>
      <c r="E142" s="21">
        <v>0</v>
      </c>
      <c r="F142" s="3"/>
      <c r="G142" s="21">
        <f t="shared" si="23"/>
        <v>0</v>
      </c>
      <c r="H142" s="3"/>
      <c r="I142" s="21">
        <f t="shared" si="24"/>
        <v>0</v>
      </c>
      <c r="J142" s="3"/>
      <c r="K142" s="21">
        <f t="shared" si="25"/>
        <v>0</v>
      </c>
      <c r="L142" s="6"/>
      <c r="M142" s="22">
        <f t="shared" si="26"/>
        <v>0</v>
      </c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">
      <c r="A143" s="1"/>
      <c r="B143" s="19"/>
      <c r="C143" s="2"/>
      <c r="D143" s="4"/>
      <c r="E143" s="21">
        <v>0</v>
      </c>
      <c r="F143" s="3"/>
      <c r="G143" s="21">
        <f t="shared" si="23"/>
        <v>0</v>
      </c>
      <c r="H143" s="3"/>
      <c r="I143" s="21">
        <f t="shared" si="24"/>
        <v>0</v>
      </c>
      <c r="J143" s="3"/>
      <c r="K143" s="21">
        <f t="shared" si="25"/>
        <v>0</v>
      </c>
      <c r="L143" s="3"/>
      <c r="M143" s="21">
        <f t="shared" si="26"/>
        <v>0</v>
      </c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">
      <c r="A144" s="1"/>
      <c r="B144" s="19"/>
      <c r="C144" s="2"/>
      <c r="D144" s="4"/>
      <c r="E144" s="21"/>
      <c r="F144" s="3"/>
      <c r="G144" s="21"/>
      <c r="H144" s="3"/>
      <c r="I144" s="21"/>
      <c r="J144" s="3"/>
      <c r="K144" s="21"/>
      <c r="L144" s="3"/>
      <c r="M144" s="22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">
      <c r="A145" s="1"/>
      <c r="B145" s="15"/>
      <c r="C145" s="16"/>
      <c r="D145" s="17"/>
      <c r="E145" s="20"/>
      <c r="F145" s="15"/>
      <c r="G145" s="20"/>
      <c r="H145" s="15"/>
      <c r="I145" s="20"/>
      <c r="J145" s="15"/>
      <c r="K145" s="20"/>
      <c r="L145" s="18"/>
      <c r="M145" s="20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">
      <c r="A146" s="1"/>
      <c r="B146" s="39"/>
      <c r="C146" s="40"/>
      <c r="D146" s="40" t="s">
        <v>16</v>
      </c>
      <c r="E146" s="41"/>
      <c r="F146" s="42"/>
      <c r="G146" s="41">
        <f>SUM(G133:G144)</f>
        <v>7</v>
      </c>
      <c r="H146" s="42"/>
      <c r="I146" s="41">
        <f>SUM(I133:I144)</f>
        <v>14</v>
      </c>
      <c r="J146" s="42"/>
      <c r="K146" s="41">
        <f>SUM(K133:K144)</f>
        <v>2</v>
      </c>
      <c r="L146" s="43"/>
      <c r="M146" s="41">
        <f>SUM(M133:M144)</f>
        <v>10</v>
      </c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">
      <c r="A147" s="1"/>
      <c r="B147" s="39"/>
      <c r="C147" s="40"/>
      <c r="D147" s="40" t="s">
        <v>5</v>
      </c>
      <c r="E147" s="41"/>
      <c r="F147" s="42"/>
      <c r="G147" s="41">
        <f>G146+G127</f>
        <v>85</v>
      </c>
      <c r="H147" s="42"/>
      <c r="I147" s="41">
        <f>I146+I127</f>
        <v>105</v>
      </c>
      <c r="J147" s="42"/>
      <c r="K147" s="41">
        <f>K146+K127</f>
        <v>108</v>
      </c>
      <c r="L147" s="43"/>
      <c r="M147" s="41">
        <f>M146+M127</f>
        <v>182</v>
      </c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24" x14ac:dyDescent="0.3">
      <c r="A149" s="1"/>
      <c r="B149" s="53" t="s">
        <v>33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9" x14ac:dyDescent="0.25">
      <c r="A150" s="1"/>
      <c r="B150" s="34"/>
      <c r="C150" s="35"/>
      <c r="D150" s="35"/>
      <c r="E150" s="36"/>
      <c r="F150" s="51" t="s">
        <v>0</v>
      </c>
      <c r="G150" s="52"/>
      <c r="H150" s="51" t="s">
        <v>1</v>
      </c>
      <c r="I150" s="52"/>
      <c r="J150" s="51" t="s">
        <v>2</v>
      </c>
      <c r="K150" s="52"/>
      <c r="L150" s="51" t="s">
        <v>3</v>
      </c>
      <c r="M150" s="52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9" x14ac:dyDescent="0.25">
      <c r="A151" s="1"/>
      <c r="B151" s="49" t="s">
        <v>7</v>
      </c>
      <c r="C151" s="50"/>
      <c r="D151" s="50"/>
      <c r="E151" s="37" t="s">
        <v>6</v>
      </c>
      <c r="F151" s="38" t="s">
        <v>7</v>
      </c>
      <c r="G151" s="37" t="s">
        <v>6</v>
      </c>
      <c r="H151" s="38" t="s">
        <v>7</v>
      </c>
      <c r="I151" s="37" t="s">
        <v>6</v>
      </c>
      <c r="J151" s="38" t="s">
        <v>7</v>
      </c>
      <c r="K151" s="37" t="s">
        <v>6</v>
      </c>
      <c r="L151" s="38" t="s">
        <v>7</v>
      </c>
      <c r="M151" s="37" t="s">
        <v>6</v>
      </c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">
      <c r="A152" s="1"/>
      <c r="B152" s="9"/>
      <c r="C152" s="10"/>
      <c r="D152" s="11"/>
      <c r="E152" s="12"/>
      <c r="F152" s="13"/>
      <c r="G152" s="12"/>
      <c r="H152" s="13"/>
      <c r="I152" s="12"/>
      <c r="J152" s="13"/>
      <c r="K152" s="12"/>
      <c r="L152" s="14"/>
      <c r="M152" s="12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">
      <c r="A153" s="1"/>
      <c r="B153" s="5"/>
      <c r="C153" s="2">
        <v>1</v>
      </c>
      <c r="D153" s="4" t="s">
        <v>21</v>
      </c>
      <c r="E153" s="21">
        <v>25</v>
      </c>
      <c r="F153" s="3" t="s">
        <v>8</v>
      </c>
      <c r="G153" s="21">
        <f>IF(F153=$D153,$E153,0)</f>
        <v>0</v>
      </c>
      <c r="H153" s="3" t="s">
        <v>71</v>
      </c>
      <c r="I153" s="21">
        <f>IF(H153=$D153,$E153,0)</f>
        <v>0</v>
      </c>
      <c r="J153" s="3" t="s">
        <v>8</v>
      </c>
      <c r="K153" s="21">
        <f>IF(J153=$D153,$E153,0)</f>
        <v>0</v>
      </c>
      <c r="L153" s="3" t="s">
        <v>8</v>
      </c>
      <c r="M153" s="22">
        <f>IF(L153=$D153,$E153,0)</f>
        <v>0</v>
      </c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">
      <c r="A154" s="1"/>
      <c r="B154" s="5"/>
      <c r="C154" s="2">
        <v>2</v>
      </c>
      <c r="D154" s="4" t="s">
        <v>14</v>
      </c>
      <c r="E154" s="21">
        <v>18</v>
      </c>
      <c r="F154" s="3" t="s">
        <v>21</v>
      </c>
      <c r="G154" s="21">
        <f t="shared" ref="G154:G163" si="27">IF(F154=$D154,$E154,0)</f>
        <v>0</v>
      </c>
      <c r="H154" s="3" t="s">
        <v>8</v>
      </c>
      <c r="I154" s="21">
        <f t="shared" ref="I154:I163" si="28">IF(H154=$D154,$E154,0)</f>
        <v>0</v>
      </c>
      <c r="J154" s="3" t="s">
        <v>21</v>
      </c>
      <c r="K154" s="21">
        <f t="shared" ref="K154:K163" si="29">IF(J154=$D154,$E154,0)</f>
        <v>0</v>
      </c>
      <c r="L154" s="3" t="s">
        <v>21</v>
      </c>
      <c r="M154" s="22">
        <f t="shared" ref="M154:M163" si="30">IF(L154=$D154,$E154,0)</f>
        <v>0</v>
      </c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">
      <c r="A155" s="1"/>
      <c r="B155" s="5"/>
      <c r="C155" s="2">
        <v>3</v>
      </c>
      <c r="D155" s="4" t="s">
        <v>18</v>
      </c>
      <c r="E155" s="21">
        <v>15</v>
      </c>
      <c r="F155" s="3" t="s">
        <v>14</v>
      </c>
      <c r="G155" s="21">
        <f t="shared" si="27"/>
        <v>0</v>
      </c>
      <c r="H155" s="3" t="s">
        <v>14</v>
      </c>
      <c r="I155" s="21">
        <f t="shared" si="28"/>
        <v>0</v>
      </c>
      <c r="J155" s="3" t="s">
        <v>14</v>
      </c>
      <c r="K155" s="21">
        <f t="shared" si="29"/>
        <v>0</v>
      </c>
      <c r="L155" s="3" t="s">
        <v>14</v>
      </c>
      <c r="M155" s="22">
        <f t="shared" si="30"/>
        <v>0</v>
      </c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">
      <c r="A156" s="1"/>
      <c r="B156" s="5"/>
      <c r="C156" s="2">
        <v>4</v>
      </c>
      <c r="D156" s="4" t="s">
        <v>12</v>
      </c>
      <c r="E156" s="21">
        <v>12</v>
      </c>
      <c r="F156" s="3" t="s">
        <v>9</v>
      </c>
      <c r="G156" s="21">
        <f t="shared" si="27"/>
        <v>0</v>
      </c>
      <c r="H156" s="3" t="s">
        <v>21</v>
      </c>
      <c r="I156" s="21">
        <f t="shared" si="28"/>
        <v>0</v>
      </c>
      <c r="J156" s="3" t="s">
        <v>9</v>
      </c>
      <c r="K156" s="21">
        <f t="shared" si="29"/>
        <v>0</v>
      </c>
      <c r="L156" s="3" t="s">
        <v>9</v>
      </c>
      <c r="M156" s="22">
        <f t="shared" si="30"/>
        <v>0</v>
      </c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">
      <c r="A157" s="1"/>
      <c r="B157" s="5"/>
      <c r="C157" s="2">
        <v>5</v>
      </c>
      <c r="D157" s="4" t="s">
        <v>8</v>
      </c>
      <c r="E157" s="21">
        <v>10</v>
      </c>
      <c r="F157" s="3" t="s">
        <v>12</v>
      </c>
      <c r="G157" s="21">
        <f t="shared" si="27"/>
        <v>0</v>
      </c>
      <c r="H157" s="3" t="s">
        <v>9</v>
      </c>
      <c r="I157" s="21">
        <f t="shared" si="28"/>
        <v>0</v>
      </c>
      <c r="J157" s="3" t="s">
        <v>12</v>
      </c>
      <c r="K157" s="21">
        <f t="shared" si="29"/>
        <v>0</v>
      </c>
      <c r="L157" s="3" t="s">
        <v>12</v>
      </c>
      <c r="M157" s="22">
        <f t="shared" si="30"/>
        <v>0</v>
      </c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">
      <c r="A158" s="1"/>
      <c r="B158" s="5"/>
      <c r="C158" s="2">
        <v>6</v>
      </c>
      <c r="D158" s="4" t="s">
        <v>10</v>
      </c>
      <c r="E158" s="21">
        <v>8</v>
      </c>
      <c r="F158" s="3" t="s">
        <v>10</v>
      </c>
      <c r="G158" s="21">
        <f t="shared" si="27"/>
        <v>8</v>
      </c>
      <c r="H158" s="3" t="s">
        <v>12</v>
      </c>
      <c r="I158" s="21">
        <f t="shared" si="28"/>
        <v>0</v>
      </c>
      <c r="J158" s="3" t="s">
        <v>18</v>
      </c>
      <c r="K158" s="21">
        <f t="shared" si="29"/>
        <v>0</v>
      </c>
      <c r="L158" s="3" t="s">
        <v>9</v>
      </c>
      <c r="M158" s="22">
        <f t="shared" si="30"/>
        <v>0</v>
      </c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">
      <c r="A159" s="1"/>
      <c r="B159" s="5"/>
      <c r="C159" s="2">
        <v>7</v>
      </c>
      <c r="D159" s="4" t="s">
        <v>64</v>
      </c>
      <c r="E159" s="21">
        <v>6</v>
      </c>
      <c r="F159" s="3" t="s">
        <v>18</v>
      </c>
      <c r="G159" s="21">
        <f t="shared" si="27"/>
        <v>0</v>
      </c>
      <c r="H159" s="3" t="s">
        <v>10</v>
      </c>
      <c r="I159" s="21">
        <f t="shared" si="28"/>
        <v>0</v>
      </c>
      <c r="J159" s="3" t="s">
        <v>10</v>
      </c>
      <c r="K159" s="21">
        <f t="shared" si="29"/>
        <v>0</v>
      </c>
      <c r="L159" s="3" t="s">
        <v>18</v>
      </c>
      <c r="M159" s="22">
        <f t="shared" si="30"/>
        <v>0</v>
      </c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">
      <c r="A160" s="1"/>
      <c r="B160" s="5"/>
      <c r="C160" s="2">
        <v>8</v>
      </c>
      <c r="D160" s="4" t="s">
        <v>9</v>
      </c>
      <c r="E160" s="21">
        <v>4</v>
      </c>
      <c r="F160" s="3" t="s">
        <v>22</v>
      </c>
      <c r="G160" s="21">
        <f t="shared" si="27"/>
        <v>0</v>
      </c>
      <c r="H160" s="3" t="s">
        <v>64</v>
      </c>
      <c r="I160" s="21">
        <f t="shared" si="28"/>
        <v>0</v>
      </c>
      <c r="J160" s="3" t="s">
        <v>56</v>
      </c>
      <c r="K160" s="21">
        <f t="shared" si="29"/>
        <v>0</v>
      </c>
      <c r="L160" s="3" t="s">
        <v>10</v>
      </c>
      <c r="M160" s="22">
        <f t="shared" si="30"/>
        <v>0</v>
      </c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">
      <c r="A161" s="1"/>
      <c r="B161" s="5"/>
      <c r="C161" s="2">
        <v>9</v>
      </c>
      <c r="D161" s="4" t="s">
        <v>13</v>
      </c>
      <c r="E161" s="21">
        <v>2</v>
      </c>
      <c r="F161" s="3" t="s">
        <v>56</v>
      </c>
      <c r="G161" s="21">
        <f t="shared" si="27"/>
        <v>0</v>
      </c>
      <c r="H161" s="3" t="s">
        <v>13</v>
      </c>
      <c r="I161" s="21">
        <f t="shared" si="28"/>
        <v>2</v>
      </c>
      <c r="J161" s="6" t="s">
        <v>70</v>
      </c>
      <c r="K161" s="21">
        <f t="shared" si="29"/>
        <v>0</v>
      </c>
      <c r="L161" s="3" t="s">
        <v>56</v>
      </c>
      <c r="M161" s="22">
        <f t="shared" si="30"/>
        <v>0</v>
      </c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">
      <c r="A162" s="1"/>
      <c r="B162" s="5"/>
      <c r="C162" s="2">
        <v>10</v>
      </c>
      <c r="D162" s="4" t="s">
        <v>15</v>
      </c>
      <c r="E162" s="21">
        <v>1</v>
      </c>
      <c r="F162" s="3" t="s">
        <v>20</v>
      </c>
      <c r="G162" s="21">
        <f t="shared" si="27"/>
        <v>0</v>
      </c>
      <c r="H162" s="3" t="s">
        <v>56</v>
      </c>
      <c r="I162" s="21">
        <f t="shared" si="28"/>
        <v>0</v>
      </c>
      <c r="J162" s="3" t="s">
        <v>64</v>
      </c>
      <c r="K162" s="21">
        <f t="shared" si="29"/>
        <v>0</v>
      </c>
      <c r="L162" s="6" t="s">
        <v>17</v>
      </c>
      <c r="M162" s="22">
        <f t="shared" si="30"/>
        <v>0</v>
      </c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">
      <c r="A163" s="1"/>
      <c r="B163" s="19"/>
      <c r="C163" s="2" t="s">
        <v>4</v>
      </c>
      <c r="D163" s="4" t="s">
        <v>14</v>
      </c>
      <c r="E163" s="21">
        <v>1</v>
      </c>
      <c r="F163" s="3" t="s">
        <v>8</v>
      </c>
      <c r="G163" s="21">
        <f t="shared" si="27"/>
        <v>0</v>
      </c>
      <c r="H163" s="3"/>
      <c r="I163" s="21">
        <f t="shared" si="28"/>
        <v>0</v>
      </c>
      <c r="J163" s="3" t="s">
        <v>21</v>
      </c>
      <c r="K163" s="21">
        <f t="shared" si="29"/>
        <v>0</v>
      </c>
      <c r="L163" s="3" t="s">
        <v>8</v>
      </c>
      <c r="M163" s="21">
        <f t="shared" si="30"/>
        <v>0</v>
      </c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">
      <c r="A164" s="1"/>
      <c r="B164" s="19"/>
      <c r="C164" s="2" t="s">
        <v>19</v>
      </c>
      <c r="D164" s="4"/>
      <c r="E164" s="21">
        <v>10</v>
      </c>
      <c r="F164" s="3" t="s">
        <v>64</v>
      </c>
      <c r="G164" s="22">
        <f>IF(F164=$D164,$E164,0)*0</f>
        <v>0</v>
      </c>
      <c r="H164" s="3" t="s">
        <v>62</v>
      </c>
      <c r="I164" s="22">
        <f>IF(H164=$D164,$E164,0)*0</f>
        <v>0</v>
      </c>
      <c r="J164" s="3" t="s">
        <v>11</v>
      </c>
      <c r="K164" s="22">
        <f>IF(J164=$D164,$E164,0)*0</f>
        <v>0</v>
      </c>
      <c r="L164" s="3"/>
      <c r="M164" s="22">
        <f>IF(L164=$D164,$E164,0)*0</f>
        <v>0</v>
      </c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">
      <c r="A165" s="1"/>
      <c r="B165" s="15"/>
      <c r="C165" s="16"/>
      <c r="D165" s="17"/>
      <c r="E165" s="20"/>
      <c r="F165" s="15"/>
      <c r="G165" s="20"/>
      <c r="H165" s="15"/>
      <c r="I165" s="20"/>
      <c r="J165" s="15"/>
      <c r="K165" s="20"/>
      <c r="L165" s="18"/>
      <c r="M165" s="20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">
      <c r="A166" s="1"/>
      <c r="B166" s="39"/>
      <c r="C166" s="40"/>
      <c r="D166" s="40" t="s">
        <v>16</v>
      </c>
      <c r="E166" s="41"/>
      <c r="F166" s="42"/>
      <c r="G166" s="41">
        <f>SUM(G153:G164)</f>
        <v>8</v>
      </c>
      <c r="H166" s="42"/>
      <c r="I166" s="41">
        <f>SUM(I153:I164)</f>
        <v>2</v>
      </c>
      <c r="J166" s="42"/>
      <c r="K166" s="41">
        <f>SUM(K153:K164)</f>
        <v>0</v>
      </c>
      <c r="L166" s="43"/>
      <c r="M166" s="41">
        <f>SUM(M153:M164)</f>
        <v>0</v>
      </c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">
      <c r="A167" s="1"/>
      <c r="B167" s="39"/>
      <c r="C167" s="40"/>
      <c r="D167" s="40" t="s">
        <v>5</v>
      </c>
      <c r="E167" s="41"/>
      <c r="F167" s="42"/>
      <c r="G167" s="41">
        <f>G166+G147</f>
        <v>93</v>
      </c>
      <c r="H167" s="42"/>
      <c r="I167" s="41">
        <f>I166+I147</f>
        <v>107</v>
      </c>
      <c r="J167" s="42"/>
      <c r="K167" s="41">
        <f>K166+K147</f>
        <v>108</v>
      </c>
      <c r="L167" s="43"/>
      <c r="M167" s="41">
        <f>M166+M147</f>
        <v>182</v>
      </c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24" x14ac:dyDescent="0.3">
      <c r="A169" s="1"/>
      <c r="B169" s="53" t="s">
        <v>35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9" x14ac:dyDescent="0.25">
      <c r="A170" s="1"/>
      <c r="B170" s="34"/>
      <c r="C170" s="35"/>
      <c r="D170" s="35"/>
      <c r="E170" s="36"/>
      <c r="F170" s="51" t="s">
        <v>0</v>
      </c>
      <c r="G170" s="52"/>
      <c r="H170" s="51" t="s">
        <v>1</v>
      </c>
      <c r="I170" s="52"/>
      <c r="J170" s="51" t="s">
        <v>2</v>
      </c>
      <c r="K170" s="52"/>
      <c r="L170" s="51" t="s">
        <v>3</v>
      </c>
      <c r="M170" s="52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9" x14ac:dyDescent="0.25">
      <c r="A171" s="1"/>
      <c r="B171" s="49" t="s">
        <v>7</v>
      </c>
      <c r="C171" s="50"/>
      <c r="D171" s="50"/>
      <c r="E171" s="37" t="s">
        <v>6</v>
      </c>
      <c r="F171" s="38" t="s">
        <v>7</v>
      </c>
      <c r="G171" s="37" t="s">
        <v>6</v>
      </c>
      <c r="H171" s="38" t="s">
        <v>7</v>
      </c>
      <c r="I171" s="37" t="s">
        <v>6</v>
      </c>
      <c r="J171" s="38" t="s">
        <v>7</v>
      </c>
      <c r="K171" s="37" t="s">
        <v>6</v>
      </c>
      <c r="L171" s="38" t="s">
        <v>7</v>
      </c>
      <c r="M171" s="37" t="s">
        <v>6</v>
      </c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">
      <c r="A172" s="1"/>
      <c r="B172" s="9"/>
      <c r="C172" s="10"/>
      <c r="D172" s="11"/>
      <c r="E172" s="12"/>
      <c r="F172" s="13"/>
      <c r="G172" s="12"/>
      <c r="H172" s="13"/>
      <c r="I172" s="12"/>
      <c r="J172" s="13"/>
      <c r="K172" s="12"/>
      <c r="L172" s="14"/>
      <c r="M172" s="12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">
      <c r="A173" s="1"/>
      <c r="B173" s="5"/>
      <c r="C173" s="2">
        <v>1</v>
      </c>
      <c r="D173" s="4" t="s">
        <v>12</v>
      </c>
      <c r="E173" s="21">
        <v>8</v>
      </c>
      <c r="F173" s="3" t="s">
        <v>21</v>
      </c>
      <c r="G173" s="21">
        <f>IF(F173=$D173,$E173,0)</f>
        <v>0</v>
      </c>
      <c r="H173" s="3" t="s">
        <v>21</v>
      </c>
      <c r="I173" s="21">
        <f>IF(H173=$D173,$E173,0)</f>
        <v>0</v>
      </c>
      <c r="J173" s="3" t="s">
        <v>12</v>
      </c>
      <c r="K173" s="21">
        <f>IF(J173=$D173,$E173,0)</f>
        <v>8</v>
      </c>
      <c r="L173" s="3" t="s">
        <v>21</v>
      </c>
      <c r="M173" s="22">
        <f>IF(L173=$D173,$E173,0)</f>
        <v>0</v>
      </c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">
      <c r="A174" s="1"/>
      <c r="B174" s="5"/>
      <c r="C174" s="2">
        <v>2</v>
      </c>
      <c r="D174" s="4" t="s">
        <v>14</v>
      </c>
      <c r="E174" s="21">
        <v>7</v>
      </c>
      <c r="F174" s="3" t="s">
        <v>12</v>
      </c>
      <c r="G174" s="21">
        <f t="shared" ref="G174:G183" si="31">IF(F174=$D174,$E174,0)</f>
        <v>0</v>
      </c>
      <c r="H174" s="3" t="s">
        <v>12</v>
      </c>
      <c r="I174" s="21">
        <f t="shared" ref="I174:I183" si="32">IF(H174=$D174,$E174,0)</f>
        <v>0</v>
      </c>
      <c r="J174" s="3" t="s">
        <v>21</v>
      </c>
      <c r="K174" s="21">
        <f t="shared" ref="K174:K183" si="33">IF(J174=$D174,$E174,0)</f>
        <v>0</v>
      </c>
      <c r="L174" s="3" t="s">
        <v>12</v>
      </c>
      <c r="M174" s="22">
        <f t="shared" ref="M174:M183" si="34">IF(L174=$D174,$E174,0)</f>
        <v>0</v>
      </c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">
      <c r="A175" s="1"/>
      <c r="B175" s="5"/>
      <c r="C175" s="2">
        <v>3</v>
      </c>
      <c r="D175" s="4" t="s">
        <v>21</v>
      </c>
      <c r="E175" s="21">
        <v>6</v>
      </c>
      <c r="F175" s="3" t="s">
        <v>14</v>
      </c>
      <c r="G175" s="21">
        <f t="shared" si="31"/>
        <v>0</v>
      </c>
      <c r="H175" s="3" t="s">
        <v>18</v>
      </c>
      <c r="I175" s="21">
        <f t="shared" si="32"/>
        <v>0</v>
      </c>
      <c r="J175" s="3" t="s">
        <v>14</v>
      </c>
      <c r="K175" s="21">
        <f t="shared" si="33"/>
        <v>0</v>
      </c>
      <c r="L175" s="3" t="s">
        <v>18</v>
      </c>
      <c r="M175" s="22">
        <f t="shared" si="34"/>
        <v>0</v>
      </c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">
      <c r="A176" s="1"/>
      <c r="B176" s="5"/>
      <c r="C176" s="2">
        <v>4</v>
      </c>
      <c r="D176" s="4" t="s">
        <v>18</v>
      </c>
      <c r="E176" s="21">
        <v>5</v>
      </c>
      <c r="F176" s="3" t="s">
        <v>18</v>
      </c>
      <c r="G176" s="21">
        <f t="shared" si="31"/>
        <v>5</v>
      </c>
      <c r="H176" s="3" t="s">
        <v>14</v>
      </c>
      <c r="I176" s="21">
        <f t="shared" si="32"/>
        <v>0</v>
      </c>
      <c r="J176" s="3" t="s">
        <v>18</v>
      </c>
      <c r="K176" s="21">
        <f t="shared" si="33"/>
        <v>5</v>
      </c>
      <c r="L176" s="3" t="s">
        <v>14</v>
      </c>
      <c r="M176" s="22">
        <f t="shared" si="34"/>
        <v>0</v>
      </c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">
      <c r="A177" s="1"/>
      <c r="B177" s="5"/>
      <c r="C177" s="2">
        <v>5</v>
      </c>
      <c r="D177" s="4" t="s">
        <v>9</v>
      </c>
      <c r="E177" s="21">
        <v>4</v>
      </c>
      <c r="F177" s="3" t="s">
        <v>9</v>
      </c>
      <c r="G177" s="21">
        <f t="shared" si="31"/>
        <v>4</v>
      </c>
      <c r="H177" s="3" t="s">
        <v>8</v>
      </c>
      <c r="I177" s="21">
        <f t="shared" si="32"/>
        <v>0</v>
      </c>
      <c r="J177" s="3" t="s">
        <v>10</v>
      </c>
      <c r="K177" s="21">
        <f t="shared" si="33"/>
        <v>0</v>
      </c>
      <c r="L177" s="3" t="s">
        <v>8</v>
      </c>
      <c r="M177" s="22">
        <f t="shared" si="34"/>
        <v>0</v>
      </c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">
      <c r="A178" s="1"/>
      <c r="B178" s="5"/>
      <c r="C178" s="2">
        <v>6</v>
      </c>
      <c r="D178" s="4" t="s">
        <v>10</v>
      </c>
      <c r="E178" s="21">
        <v>3</v>
      </c>
      <c r="F178" s="3" t="s">
        <v>8</v>
      </c>
      <c r="G178" s="21">
        <f t="shared" si="31"/>
        <v>0</v>
      </c>
      <c r="H178" s="3" t="s">
        <v>9</v>
      </c>
      <c r="I178" s="21">
        <f t="shared" si="32"/>
        <v>0</v>
      </c>
      <c r="J178" s="3" t="s">
        <v>9</v>
      </c>
      <c r="K178" s="21">
        <f t="shared" si="33"/>
        <v>0</v>
      </c>
      <c r="L178" s="3" t="s">
        <v>9</v>
      </c>
      <c r="M178" s="22">
        <f t="shared" si="34"/>
        <v>0</v>
      </c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">
      <c r="A179" s="1"/>
      <c r="B179" s="5"/>
      <c r="C179" s="2">
        <v>7</v>
      </c>
      <c r="D179" s="4" t="s">
        <v>8</v>
      </c>
      <c r="E179" s="21">
        <v>2</v>
      </c>
      <c r="F179" s="3" t="s">
        <v>10</v>
      </c>
      <c r="G179" s="21">
        <f t="shared" si="31"/>
        <v>0</v>
      </c>
      <c r="H179" s="3" t="s">
        <v>10</v>
      </c>
      <c r="I179" s="21">
        <f t="shared" si="32"/>
        <v>0</v>
      </c>
      <c r="J179" s="3" t="s">
        <v>8</v>
      </c>
      <c r="K179" s="21">
        <f t="shared" si="33"/>
        <v>2</v>
      </c>
      <c r="L179" s="3" t="s">
        <v>10</v>
      </c>
      <c r="M179" s="22">
        <f t="shared" si="34"/>
        <v>0</v>
      </c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">
      <c r="A180" s="1"/>
      <c r="B180" s="5"/>
      <c r="C180" s="2">
        <v>8</v>
      </c>
      <c r="D180" s="4" t="s">
        <v>72</v>
      </c>
      <c r="E180" s="21">
        <v>1</v>
      </c>
      <c r="F180" s="3" t="s">
        <v>22</v>
      </c>
      <c r="G180" s="21">
        <f t="shared" si="31"/>
        <v>0</v>
      </c>
      <c r="H180" s="3" t="s">
        <v>22</v>
      </c>
      <c r="I180" s="21">
        <f t="shared" si="32"/>
        <v>0</v>
      </c>
      <c r="J180" s="3" t="s">
        <v>22</v>
      </c>
      <c r="K180" s="21">
        <f t="shared" si="33"/>
        <v>0</v>
      </c>
      <c r="L180" s="3" t="s">
        <v>22</v>
      </c>
      <c r="M180" s="22">
        <f t="shared" si="34"/>
        <v>0</v>
      </c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">
      <c r="A181" s="1"/>
      <c r="B181" s="5"/>
      <c r="C181" s="2"/>
      <c r="D181" s="4"/>
      <c r="E181" s="21"/>
      <c r="F181" s="3"/>
      <c r="G181" s="21"/>
      <c r="H181" s="3"/>
      <c r="I181" s="21"/>
      <c r="J181" s="3"/>
      <c r="K181" s="21"/>
      <c r="L181" s="3"/>
      <c r="M181" s="22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">
      <c r="A182" s="1"/>
      <c r="B182" s="5"/>
      <c r="C182" s="2"/>
      <c r="D182" s="4"/>
      <c r="E182" s="21"/>
      <c r="F182" s="3"/>
      <c r="G182" s="21"/>
      <c r="H182" s="3"/>
      <c r="I182" s="21"/>
      <c r="J182" s="3"/>
      <c r="K182" s="21"/>
      <c r="L182" s="6"/>
      <c r="M182" s="22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">
      <c r="A183" s="1"/>
      <c r="B183" s="19"/>
      <c r="C183" s="2" t="s">
        <v>4</v>
      </c>
      <c r="D183" s="4"/>
      <c r="E183" s="21">
        <v>0</v>
      </c>
      <c r="F183" s="3"/>
      <c r="G183" s="21">
        <f t="shared" si="31"/>
        <v>0</v>
      </c>
      <c r="H183" s="3"/>
      <c r="I183" s="21">
        <f t="shared" si="32"/>
        <v>0</v>
      </c>
      <c r="J183" s="3"/>
      <c r="K183" s="21">
        <f t="shared" si="33"/>
        <v>0</v>
      </c>
      <c r="L183" s="3"/>
      <c r="M183" s="21">
        <f t="shared" si="34"/>
        <v>0</v>
      </c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">
      <c r="A184" s="1"/>
      <c r="B184" s="19"/>
      <c r="C184" s="2"/>
      <c r="D184" s="4"/>
      <c r="E184" s="21"/>
      <c r="F184" s="3"/>
      <c r="G184" s="21"/>
      <c r="H184" s="3"/>
      <c r="I184" s="21"/>
      <c r="J184" s="3"/>
      <c r="K184" s="21"/>
      <c r="L184" s="3"/>
      <c r="M184" s="22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">
      <c r="A185" s="1"/>
      <c r="B185" s="15"/>
      <c r="C185" s="16"/>
      <c r="D185" s="17"/>
      <c r="E185" s="20"/>
      <c r="F185" s="15"/>
      <c r="G185" s="20"/>
      <c r="H185" s="15"/>
      <c r="I185" s="20"/>
      <c r="J185" s="15"/>
      <c r="K185" s="20"/>
      <c r="L185" s="18"/>
      <c r="M185" s="20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">
      <c r="A186" s="1"/>
      <c r="B186" s="39"/>
      <c r="C186" s="40"/>
      <c r="D186" s="40" t="s">
        <v>16</v>
      </c>
      <c r="E186" s="41"/>
      <c r="F186" s="42"/>
      <c r="G186" s="41">
        <f>SUM(G173:G184)</f>
        <v>9</v>
      </c>
      <c r="H186" s="42"/>
      <c r="I186" s="41">
        <f>SUM(I173:I184)</f>
        <v>0</v>
      </c>
      <c r="J186" s="42"/>
      <c r="K186" s="41">
        <f>SUM(K173:K184)</f>
        <v>15</v>
      </c>
      <c r="L186" s="43"/>
      <c r="M186" s="41">
        <f>SUM(M173:M184)</f>
        <v>0</v>
      </c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">
      <c r="A187" s="1"/>
      <c r="B187" s="39"/>
      <c r="C187" s="40"/>
      <c r="D187" s="40" t="s">
        <v>5</v>
      </c>
      <c r="E187" s="41"/>
      <c r="F187" s="42"/>
      <c r="G187" s="41">
        <f>G186+G167</f>
        <v>102</v>
      </c>
      <c r="H187" s="42"/>
      <c r="I187" s="41">
        <f>I186+I167</f>
        <v>107</v>
      </c>
      <c r="J187" s="42"/>
      <c r="K187" s="41">
        <f>K186+K167</f>
        <v>123</v>
      </c>
      <c r="L187" s="43"/>
      <c r="M187" s="41">
        <f>M186+M167</f>
        <v>182</v>
      </c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24" x14ac:dyDescent="0.3">
      <c r="A189" s="1"/>
      <c r="B189" s="53" t="s">
        <v>34</v>
      </c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9" x14ac:dyDescent="0.25">
      <c r="A190" s="1"/>
      <c r="B190" s="34"/>
      <c r="C190" s="35"/>
      <c r="D190" s="35"/>
      <c r="E190" s="36"/>
      <c r="F190" s="51" t="s">
        <v>0</v>
      </c>
      <c r="G190" s="52"/>
      <c r="H190" s="51" t="s">
        <v>1</v>
      </c>
      <c r="I190" s="52"/>
      <c r="J190" s="51" t="s">
        <v>2</v>
      </c>
      <c r="K190" s="52"/>
      <c r="L190" s="51" t="s">
        <v>3</v>
      </c>
      <c r="M190" s="52"/>
      <c r="N190" s="1"/>
      <c r="O190" s="1"/>
      <c r="P190" s="24"/>
      <c r="Q190" s="24"/>
      <c r="R190" s="24"/>
      <c r="S190" s="24"/>
      <c r="T190" s="1"/>
      <c r="U190" s="1"/>
      <c r="V190" s="1"/>
    </row>
    <row r="191" spans="1:22" ht="19" x14ac:dyDescent="0.25">
      <c r="A191" s="1"/>
      <c r="B191" s="49" t="s">
        <v>7</v>
      </c>
      <c r="C191" s="50"/>
      <c r="D191" s="50"/>
      <c r="E191" s="37" t="s">
        <v>6</v>
      </c>
      <c r="F191" s="38" t="s">
        <v>7</v>
      </c>
      <c r="G191" s="37" t="s">
        <v>6</v>
      </c>
      <c r="H191" s="38" t="s">
        <v>7</v>
      </c>
      <c r="I191" s="37" t="s">
        <v>6</v>
      </c>
      <c r="J191" s="38" t="s">
        <v>7</v>
      </c>
      <c r="K191" s="37" t="s">
        <v>6</v>
      </c>
      <c r="L191" s="38" t="s">
        <v>7</v>
      </c>
      <c r="M191" s="37" t="s">
        <v>6</v>
      </c>
      <c r="N191" s="1"/>
      <c r="O191" s="1"/>
      <c r="P191" s="24"/>
      <c r="Q191" s="24"/>
      <c r="R191" s="24"/>
      <c r="S191" s="24"/>
      <c r="T191" s="1"/>
      <c r="U191" s="1"/>
      <c r="V191" s="1"/>
    </row>
    <row r="192" spans="1:22" x14ac:dyDescent="0.2">
      <c r="A192" s="1"/>
      <c r="B192" s="9"/>
      <c r="C192" s="10"/>
      <c r="D192" s="11"/>
      <c r="E192" s="12"/>
      <c r="F192" s="13"/>
      <c r="G192" s="12"/>
      <c r="H192" s="13"/>
      <c r="I192" s="12"/>
      <c r="J192" s="13"/>
      <c r="K192" s="12"/>
      <c r="L192" s="14"/>
      <c r="M192" s="12"/>
      <c r="N192" s="1"/>
      <c r="O192" s="1"/>
      <c r="P192" s="30"/>
      <c r="Q192" s="30"/>
      <c r="R192" s="1"/>
      <c r="S192" s="30"/>
      <c r="T192" s="1"/>
      <c r="U192" s="1"/>
      <c r="V192" s="1"/>
    </row>
    <row r="193" spans="1:22" x14ac:dyDescent="0.2">
      <c r="A193" s="1"/>
      <c r="B193" s="5"/>
      <c r="C193" s="2">
        <v>1</v>
      </c>
      <c r="D193" s="4" t="s">
        <v>21</v>
      </c>
      <c r="E193" s="21">
        <v>25</v>
      </c>
      <c r="F193" s="3" t="s">
        <v>12</v>
      </c>
      <c r="G193" s="21">
        <f>IF(F193=$D193,$E193,0)</f>
        <v>0</v>
      </c>
      <c r="H193" s="3" t="s">
        <v>12</v>
      </c>
      <c r="I193" s="21">
        <f>IF(H193=$D193,$E193,0)</f>
        <v>0</v>
      </c>
      <c r="J193" s="3" t="s">
        <v>12</v>
      </c>
      <c r="K193" s="21">
        <f>IF(J193=$D193,$E193,0)</f>
        <v>0</v>
      </c>
      <c r="L193" s="3" t="s">
        <v>21</v>
      </c>
      <c r="M193" s="22">
        <f>IF(L193=$D193,$E193,0)</f>
        <v>25</v>
      </c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">
      <c r="A194" s="1"/>
      <c r="B194" s="5"/>
      <c r="C194" s="2">
        <v>2</v>
      </c>
      <c r="D194" s="4" t="s">
        <v>10</v>
      </c>
      <c r="E194" s="21">
        <v>18</v>
      </c>
      <c r="F194" s="3" t="s">
        <v>21</v>
      </c>
      <c r="G194" s="21">
        <f t="shared" ref="G194:G204" si="35">IF(F194=$D194,$E194,0)</f>
        <v>0</v>
      </c>
      <c r="H194" s="3" t="s">
        <v>21</v>
      </c>
      <c r="I194" s="21">
        <f t="shared" ref="I194:I204" si="36">IF(H194=$D194,$E194,0)</f>
        <v>0</v>
      </c>
      <c r="J194" s="3" t="s">
        <v>21</v>
      </c>
      <c r="K194" s="21">
        <f t="shared" ref="K194:K204" si="37">IF(J194=$D194,$E194,0)</f>
        <v>0</v>
      </c>
      <c r="L194" s="3" t="s">
        <v>12</v>
      </c>
      <c r="M194" s="22">
        <f t="shared" ref="M194:M203" si="38">IF(L194=$D194,$E194,0)</f>
        <v>0</v>
      </c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">
      <c r="A195" s="1"/>
      <c r="B195" s="5"/>
      <c r="C195" s="2">
        <v>3</v>
      </c>
      <c r="D195" s="4" t="s">
        <v>8</v>
      </c>
      <c r="E195" s="21">
        <v>15</v>
      </c>
      <c r="F195" s="3" t="s">
        <v>18</v>
      </c>
      <c r="G195" s="21">
        <f t="shared" si="35"/>
        <v>0</v>
      </c>
      <c r="H195" s="3" t="s">
        <v>14</v>
      </c>
      <c r="I195" s="21">
        <f t="shared" si="36"/>
        <v>0</v>
      </c>
      <c r="J195" s="3" t="s">
        <v>14</v>
      </c>
      <c r="K195" s="21">
        <f t="shared" si="37"/>
        <v>0</v>
      </c>
      <c r="L195" s="3" t="s">
        <v>14</v>
      </c>
      <c r="M195" s="22">
        <f t="shared" si="38"/>
        <v>0</v>
      </c>
      <c r="N195" s="1"/>
      <c r="O195" s="24"/>
      <c r="P195" s="23"/>
      <c r="Q195" s="23"/>
      <c r="R195" s="1"/>
      <c r="S195" s="23"/>
      <c r="T195" s="1"/>
      <c r="U195" s="1"/>
      <c r="V195" s="1"/>
    </row>
    <row r="196" spans="1:22" x14ac:dyDescent="0.2">
      <c r="A196" s="1"/>
      <c r="B196" s="5"/>
      <c r="C196" s="2">
        <v>4</v>
      </c>
      <c r="D196" s="4" t="s">
        <v>9</v>
      </c>
      <c r="E196" s="21">
        <v>12</v>
      </c>
      <c r="F196" s="3" t="s">
        <v>14</v>
      </c>
      <c r="G196" s="21">
        <f t="shared" si="35"/>
        <v>0</v>
      </c>
      <c r="H196" s="3" t="s">
        <v>18</v>
      </c>
      <c r="I196" s="21">
        <f t="shared" si="36"/>
        <v>0</v>
      </c>
      <c r="J196" s="3" t="s">
        <v>18</v>
      </c>
      <c r="K196" s="21">
        <f t="shared" si="37"/>
        <v>0</v>
      </c>
      <c r="L196" s="3" t="s">
        <v>18</v>
      </c>
      <c r="M196" s="22">
        <f t="shared" si="38"/>
        <v>0</v>
      </c>
      <c r="N196" s="1"/>
      <c r="O196" s="24"/>
      <c r="P196" s="23"/>
      <c r="Q196" s="23"/>
      <c r="R196" s="1"/>
      <c r="S196" s="23"/>
      <c r="T196" s="1"/>
      <c r="U196" s="1"/>
      <c r="V196" s="1"/>
    </row>
    <row r="197" spans="1:22" x14ac:dyDescent="0.2">
      <c r="A197" s="1"/>
      <c r="B197" s="5"/>
      <c r="C197" s="2">
        <v>5</v>
      </c>
      <c r="D197" s="4" t="s">
        <v>22</v>
      </c>
      <c r="E197" s="21">
        <v>10</v>
      </c>
      <c r="F197" s="3" t="s">
        <v>10</v>
      </c>
      <c r="G197" s="21">
        <f t="shared" si="35"/>
        <v>0</v>
      </c>
      <c r="H197" s="3" t="s">
        <v>8</v>
      </c>
      <c r="I197" s="21">
        <f t="shared" si="36"/>
        <v>0</v>
      </c>
      <c r="J197" s="3" t="s">
        <v>10</v>
      </c>
      <c r="K197" s="21">
        <f t="shared" si="37"/>
        <v>0</v>
      </c>
      <c r="L197" s="3" t="s">
        <v>8</v>
      </c>
      <c r="M197" s="22">
        <f t="shared" si="38"/>
        <v>0</v>
      </c>
      <c r="N197" s="1"/>
      <c r="O197" s="1"/>
      <c r="P197" s="44"/>
      <c r="Q197" s="44"/>
      <c r="R197" s="1"/>
      <c r="S197" s="44"/>
      <c r="T197" s="1"/>
      <c r="U197" s="1"/>
      <c r="V197" s="1"/>
    </row>
    <row r="198" spans="1:22" x14ac:dyDescent="0.2">
      <c r="A198" s="1"/>
      <c r="B198" s="5"/>
      <c r="C198" s="2">
        <v>6</v>
      </c>
      <c r="D198" s="4" t="s">
        <v>64</v>
      </c>
      <c r="E198" s="21">
        <v>8</v>
      </c>
      <c r="F198" s="6" t="s">
        <v>9</v>
      </c>
      <c r="G198" s="21">
        <f t="shared" si="35"/>
        <v>0</v>
      </c>
      <c r="H198" s="3" t="s">
        <v>9</v>
      </c>
      <c r="I198" s="21">
        <f t="shared" si="36"/>
        <v>0</v>
      </c>
      <c r="J198" s="6" t="s">
        <v>9</v>
      </c>
      <c r="K198" s="21">
        <f t="shared" si="37"/>
        <v>0</v>
      </c>
      <c r="L198" s="3" t="s">
        <v>9</v>
      </c>
      <c r="M198" s="22">
        <f t="shared" si="38"/>
        <v>0</v>
      </c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1"/>
      <c r="B199" s="5"/>
      <c r="C199" s="2">
        <v>7</v>
      </c>
      <c r="D199" s="4" t="s">
        <v>59</v>
      </c>
      <c r="E199" s="21">
        <v>6</v>
      </c>
      <c r="F199" s="3" t="s">
        <v>8</v>
      </c>
      <c r="G199" s="21">
        <f t="shared" si="35"/>
        <v>0</v>
      </c>
      <c r="H199" s="3" t="s">
        <v>10</v>
      </c>
      <c r="I199" s="21">
        <f t="shared" si="36"/>
        <v>0</v>
      </c>
      <c r="J199" s="3" t="s">
        <v>8</v>
      </c>
      <c r="K199" s="21">
        <f t="shared" si="37"/>
        <v>0</v>
      </c>
      <c r="L199" s="3" t="s">
        <v>10</v>
      </c>
      <c r="M199" s="22">
        <f t="shared" si="38"/>
        <v>0</v>
      </c>
      <c r="N199" s="1"/>
      <c r="O199" s="1"/>
      <c r="P199" s="44"/>
      <c r="Q199" s="1"/>
      <c r="R199" s="1"/>
      <c r="S199" s="1"/>
      <c r="T199" s="1"/>
      <c r="U199" s="1"/>
      <c r="V199" s="1"/>
    </row>
    <row r="200" spans="1:22" x14ac:dyDescent="0.2">
      <c r="A200" s="1"/>
      <c r="B200" s="5"/>
      <c r="C200" s="2">
        <v>8</v>
      </c>
      <c r="D200" s="4" t="s">
        <v>56</v>
      </c>
      <c r="E200" s="21">
        <v>4</v>
      </c>
      <c r="F200" s="3" t="s">
        <v>22</v>
      </c>
      <c r="G200" s="21">
        <f t="shared" si="35"/>
        <v>0</v>
      </c>
      <c r="H200" s="3" t="s">
        <v>22</v>
      </c>
      <c r="I200" s="21">
        <f t="shared" si="36"/>
        <v>0</v>
      </c>
      <c r="J200" s="3" t="s">
        <v>22</v>
      </c>
      <c r="K200" s="21">
        <f t="shared" si="37"/>
        <v>0</v>
      </c>
      <c r="L200" s="3" t="s">
        <v>22</v>
      </c>
      <c r="M200" s="22">
        <f t="shared" si="38"/>
        <v>0</v>
      </c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1"/>
      <c r="B201" s="5"/>
      <c r="C201" s="2">
        <v>9</v>
      </c>
      <c r="D201" s="4" t="s">
        <v>13</v>
      </c>
      <c r="E201" s="21">
        <v>2</v>
      </c>
      <c r="F201" s="3" t="s">
        <v>65</v>
      </c>
      <c r="G201" s="21">
        <f t="shared" si="35"/>
        <v>0</v>
      </c>
      <c r="H201" s="3" t="s">
        <v>72</v>
      </c>
      <c r="I201" s="21">
        <f t="shared" si="36"/>
        <v>0</v>
      </c>
      <c r="J201" s="3" t="s">
        <v>65</v>
      </c>
      <c r="K201" s="21">
        <f t="shared" si="37"/>
        <v>0</v>
      </c>
      <c r="L201" s="3" t="s">
        <v>72</v>
      </c>
      <c r="M201" s="22">
        <f t="shared" si="38"/>
        <v>0</v>
      </c>
      <c r="N201" s="1"/>
      <c r="O201" s="1"/>
      <c r="P201" s="1"/>
      <c r="Q201" s="30"/>
      <c r="R201" s="1"/>
      <c r="S201" s="1"/>
      <c r="T201" s="1"/>
      <c r="U201" s="1"/>
      <c r="V201" s="1"/>
    </row>
    <row r="202" spans="1:22" x14ac:dyDescent="0.2">
      <c r="A202" s="1"/>
      <c r="B202" s="5"/>
      <c r="C202" s="2">
        <v>10</v>
      </c>
      <c r="D202" s="4" t="s">
        <v>20</v>
      </c>
      <c r="E202" s="21">
        <v>1</v>
      </c>
      <c r="F202" s="3" t="s">
        <v>59</v>
      </c>
      <c r="G202" s="21">
        <f t="shared" si="35"/>
        <v>0</v>
      </c>
      <c r="H202" s="6" t="s">
        <v>64</v>
      </c>
      <c r="I202" s="21">
        <f t="shared" si="36"/>
        <v>0</v>
      </c>
      <c r="J202" s="3" t="s">
        <v>59</v>
      </c>
      <c r="K202" s="21">
        <f t="shared" si="37"/>
        <v>0</v>
      </c>
      <c r="L202" s="6" t="s">
        <v>64</v>
      </c>
      <c r="M202" s="22">
        <f t="shared" si="38"/>
        <v>0</v>
      </c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1"/>
      <c r="B203" s="19"/>
      <c r="C203" s="2" t="s">
        <v>4</v>
      </c>
      <c r="D203" s="4" t="s">
        <v>21</v>
      </c>
      <c r="E203" s="21">
        <v>1</v>
      </c>
      <c r="F203" s="3" t="s">
        <v>21</v>
      </c>
      <c r="G203" s="21">
        <f t="shared" si="35"/>
        <v>1</v>
      </c>
      <c r="H203" s="3" t="s">
        <v>21</v>
      </c>
      <c r="I203" s="21">
        <f t="shared" si="36"/>
        <v>1</v>
      </c>
      <c r="J203" s="3" t="s">
        <v>14</v>
      </c>
      <c r="K203" s="21">
        <f t="shared" si="37"/>
        <v>0</v>
      </c>
      <c r="L203" s="3" t="s">
        <v>21</v>
      </c>
      <c r="M203" s="21">
        <f t="shared" si="38"/>
        <v>1</v>
      </c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1"/>
      <c r="B204" s="19"/>
      <c r="C204" s="2" t="s">
        <v>19</v>
      </c>
      <c r="D204" s="4"/>
      <c r="E204" s="21">
        <v>10</v>
      </c>
      <c r="F204" s="3" t="s">
        <v>64</v>
      </c>
      <c r="G204" s="21">
        <f t="shared" si="35"/>
        <v>0</v>
      </c>
      <c r="H204" s="3" t="s">
        <v>62</v>
      </c>
      <c r="I204" s="21">
        <f t="shared" si="36"/>
        <v>0</v>
      </c>
      <c r="J204" s="3" t="s">
        <v>66</v>
      </c>
      <c r="K204" s="21">
        <f t="shared" si="37"/>
        <v>0</v>
      </c>
      <c r="L204" s="3" t="s">
        <v>11</v>
      </c>
      <c r="M204" s="22">
        <f>IF(L204=$D204,$E204,0)+10</f>
        <v>10</v>
      </c>
      <c r="N204" s="1"/>
      <c r="O204" s="1"/>
      <c r="P204" s="1"/>
      <c r="Q204" s="23"/>
      <c r="R204" s="1"/>
      <c r="S204" s="1"/>
      <c r="T204" s="1"/>
      <c r="U204" s="1"/>
      <c r="V204" s="1"/>
    </row>
    <row r="205" spans="1:22" x14ac:dyDescent="0.2">
      <c r="A205" s="1"/>
      <c r="B205" s="15"/>
      <c r="C205" s="16"/>
      <c r="D205" s="17"/>
      <c r="E205" s="20"/>
      <c r="F205" s="15"/>
      <c r="G205" s="20"/>
      <c r="H205" s="15"/>
      <c r="I205" s="20"/>
      <c r="J205" s="15"/>
      <c r="K205" s="20"/>
      <c r="L205" s="18"/>
      <c r="M205" s="20"/>
      <c r="N205" s="1"/>
      <c r="O205" s="1"/>
      <c r="P205" s="1"/>
      <c r="Q205" s="23"/>
      <c r="R205" s="1"/>
      <c r="S205" s="1"/>
      <c r="T205" s="1"/>
      <c r="U205" s="1"/>
      <c r="V205" s="1"/>
    </row>
    <row r="206" spans="1:22" x14ac:dyDescent="0.2">
      <c r="A206" s="1"/>
      <c r="B206" s="39"/>
      <c r="C206" s="40"/>
      <c r="D206" s="40" t="s">
        <v>16</v>
      </c>
      <c r="E206" s="41"/>
      <c r="F206" s="42"/>
      <c r="G206" s="41">
        <f>SUM(G193:G204)</f>
        <v>1</v>
      </c>
      <c r="H206" s="42"/>
      <c r="I206" s="41">
        <f>SUM(I193:I204)</f>
        <v>1</v>
      </c>
      <c r="J206" s="42"/>
      <c r="K206" s="41">
        <f>SUM(K193:K204)</f>
        <v>0</v>
      </c>
      <c r="L206" s="43"/>
      <c r="M206" s="41">
        <f>SUM(M193:M204)</f>
        <v>36</v>
      </c>
      <c r="N206" s="1"/>
      <c r="O206" s="1"/>
      <c r="P206" s="1"/>
      <c r="Q206" s="44"/>
      <c r="R206" s="1"/>
      <c r="S206" s="1"/>
      <c r="T206" s="1"/>
      <c r="U206" s="1"/>
      <c r="V206" s="1"/>
    </row>
    <row r="207" spans="1:22" x14ac:dyDescent="0.2">
      <c r="A207" s="1"/>
      <c r="B207" s="39"/>
      <c r="C207" s="40"/>
      <c r="D207" s="40" t="s">
        <v>5</v>
      </c>
      <c r="E207" s="41"/>
      <c r="F207" s="42"/>
      <c r="G207" s="41">
        <f>G206+G187</f>
        <v>103</v>
      </c>
      <c r="H207" s="42"/>
      <c r="I207" s="41">
        <f>I206+I187</f>
        <v>108</v>
      </c>
      <c r="J207" s="42"/>
      <c r="K207" s="41">
        <f>K206+K187</f>
        <v>123</v>
      </c>
      <c r="L207" s="43"/>
      <c r="M207" s="41">
        <f>M206+M187</f>
        <v>218</v>
      </c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24" x14ac:dyDescent="0.3">
      <c r="A209" s="1"/>
      <c r="B209" s="53" t="s">
        <v>36</v>
      </c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9" x14ac:dyDescent="0.25">
      <c r="A210" s="1"/>
      <c r="B210" s="34"/>
      <c r="C210" s="35"/>
      <c r="D210" s="35"/>
      <c r="E210" s="36"/>
      <c r="F210" s="51" t="s">
        <v>0</v>
      </c>
      <c r="G210" s="52"/>
      <c r="H210" s="51" t="s">
        <v>1</v>
      </c>
      <c r="I210" s="52"/>
      <c r="J210" s="51" t="s">
        <v>2</v>
      </c>
      <c r="K210" s="52"/>
      <c r="L210" s="51" t="s">
        <v>3</v>
      </c>
      <c r="M210" s="52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9" x14ac:dyDescent="0.25">
      <c r="A211" s="1"/>
      <c r="B211" s="49" t="s">
        <v>7</v>
      </c>
      <c r="C211" s="50"/>
      <c r="D211" s="50"/>
      <c r="E211" s="37" t="s">
        <v>6</v>
      </c>
      <c r="F211" s="38" t="s">
        <v>7</v>
      </c>
      <c r="G211" s="37" t="s">
        <v>6</v>
      </c>
      <c r="H211" s="38" t="s">
        <v>7</v>
      </c>
      <c r="I211" s="37" t="s">
        <v>6</v>
      </c>
      <c r="J211" s="38" t="s">
        <v>7</v>
      </c>
      <c r="K211" s="37" t="s">
        <v>6</v>
      </c>
      <c r="L211" s="38" t="s">
        <v>7</v>
      </c>
      <c r="M211" s="37" t="s">
        <v>6</v>
      </c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">
      <c r="A212" s="1"/>
      <c r="B212" s="9"/>
      <c r="C212" s="10"/>
      <c r="D212" s="11"/>
      <c r="E212" s="12"/>
      <c r="F212" s="13"/>
      <c r="G212" s="12"/>
      <c r="H212" s="13"/>
      <c r="I212" s="12"/>
      <c r="J212" s="13"/>
      <c r="K212" s="12"/>
      <c r="L212" s="14"/>
      <c r="M212" s="12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">
      <c r="A213" s="1"/>
      <c r="B213" s="5"/>
      <c r="C213" s="2">
        <v>1</v>
      </c>
      <c r="D213" s="4" t="s">
        <v>21</v>
      </c>
      <c r="E213" s="21">
        <v>25</v>
      </c>
      <c r="F213" s="3" t="s">
        <v>21</v>
      </c>
      <c r="G213" s="21">
        <f>IF(F213=$D213,$E213,0)</f>
        <v>25</v>
      </c>
      <c r="H213" s="3" t="s">
        <v>21</v>
      </c>
      <c r="I213" s="21">
        <f>IF(H213=$D213,$E213,0)</f>
        <v>25</v>
      </c>
      <c r="J213" s="3" t="s">
        <v>21</v>
      </c>
      <c r="K213" s="21">
        <f>IF(J213=$D213,$E213,0)</f>
        <v>25</v>
      </c>
      <c r="L213" s="3" t="s">
        <v>8</v>
      </c>
      <c r="M213" s="22">
        <f>IF(L213=$D213,$E213,0)</f>
        <v>0</v>
      </c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">
      <c r="A214" s="1"/>
      <c r="B214" s="5"/>
      <c r="C214" s="2">
        <v>2</v>
      </c>
      <c r="D214" s="4" t="s">
        <v>10</v>
      </c>
      <c r="E214" s="21">
        <v>18</v>
      </c>
      <c r="F214" s="3" t="s">
        <v>8</v>
      </c>
      <c r="G214" s="21">
        <f t="shared" ref="G214:G224" si="39">IF(F214=$D214,$E214,0)</f>
        <v>0</v>
      </c>
      <c r="H214" s="3" t="s">
        <v>8</v>
      </c>
      <c r="I214" s="21">
        <f t="shared" ref="I214:I223" si="40">IF(H214=$D214,$E214,0)</f>
        <v>0</v>
      </c>
      <c r="J214" s="3" t="s">
        <v>8</v>
      </c>
      <c r="K214" s="21">
        <f t="shared" ref="K214:K224" si="41">IF(J214=$D214,$E214,0)</f>
        <v>0</v>
      </c>
      <c r="L214" s="3" t="s">
        <v>21</v>
      </c>
      <c r="M214" s="22">
        <f t="shared" ref="M214:M224" si="42">IF(L214=$D214,$E214,0)</f>
        <v>0</v>
      </c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">
      <c r="A215" s="1"/>
      <c r="B215" s="5"/>
      <c r="C215" s="2">
        <v>3</v>
      </c>
      <c r="D215" s="4" t="s">
        <v>22</v>
      </c>
      <c r="E215" s="21">
        <v>15</v>
      </c>
      <c r="F215" s="3" t="s">
        <v>12</v>
      </c>
      <c r="G215" s="21">
        <f t="shared" si="39"/>
        <v>0</v>
      </c>
      <c r="H215" s="3" t="s">
        <v>10</v>
      </c>
      <c r="I215" s="21">
        <f t="shared" si="40"/>
        <v>0</v>
      </c>
      <c r="J215" s="3" t="s">
        <v>9</v>
      </c>
      <c r="K215" s="21">
        <f t="shared" si="41"/>
        <v>0</v>
      </c>
      <c r="L215" s="3" t="s">
        <v>10</v>
      </c>
      <c r="M215" s="22">
        <f t="shared" si="42"/>
        <v>0</v>
      </c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">
      <c r="A216" s="1"/>
      <c r="B216" s="5"/>
      <c r="C216" s="2">
        <v>4</v>
      </c>
      <c r="D216" s="4" t="s">
        <v>18</v>
      </c>
      <c r="E216" s="21">
        <v>12</v>
      </c>
      <c r="F216" s="3" t="s">
        <v>9</v>
      </c>
      <c r="G216" s="21">
        <f t="shared" si="39"/>
        <v>0</v>
      </c>
      <c r="H216" s="3" t="s">
        <v>9</v>
      </c>
      <c r="I216" s="21">
        <f t="shared" si="40"/>
        <v>0</v>
      </c>
      <c r="J216" s="3" t="s">
        <v>10</v>
      </c>
      <c r="K216" s="21">
        <f t="shared" si="41"/>
        <v>0</v>
      </c>
      <c r="L216" s="3" t="s">
        <v>9</v>
      </c>
      <c r="M216" s="22">
        <f t="shared" si="42"/>
        <v>0</v>
      </c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">
      <c r="A217" s="1"/>
      <c r="B217" s="5"/>
      <c r="C217" s="2">
        <v>5</v>
      </c>
      <c r="D217" s="4" t="s">
        <v>59</v>
      </c>
      <c r="E217" s="21">
        <v>10</v>
      </c>
      <c r="F217" s="3" t="s">
        <v>10</v>
      </c>
      <c r="G217" s="21">
        <f t="shared" si="39"/>
        <v>0</v>
      </c>
      <c r="H217" s="3" t="s">
        <v>22</v>
      </c>
      <c r="I217" s="21">
        <f t="shared" si="40"/>
        <v>0</v>
      </c>
      <c r="J217" s="3" t="s">
        <v>12</v>
      </c>
      <c r="K217" s="21">
        <f t="shared" si="41"/>
        <v>0</v>
      </c>
      <c r="L217" s="3" t="s">
        <v>22</v>
      </c>
      <c r="M217" s="22">
        <f t="shared" si="42"/>
        <v>0</v>
      </c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">
      <c r="A218" s="1"/>
      <c r="B218" s="5"/>
      <c r="C218" s="2">
        <v>6</v>
      </c>
      <c r="D218" s="4" t="s">
        <v>72</v>
      </c>
      <c r="E218" s="21">
        <v>8</v>
      </c>
      <c r="F218" s="3" t="s">
        <v>18</v>
      </c>
      <c r="G218" s="21">
        <f t="shared" si="39"/>
        <v>0</v>
      </c>
      <c r="H218" s="3" t="s">
        <v>18</v>
      </c>
      <c r="I218" s="21">
        <f t="shared" si="40"/>
        <v>0</v>
      </c>
      <c r="J218" s="3" t="s">
        <v>18</v>
      </c>
      <c r="K218" s="21">
        <f t="shared" si="41"/>
        <v>0</v>
      </c>
      <c r="L218" s="3" t="s">
        <v>12</v>
      </c>
      <c r="M218" s="22">
        <f t="shared" si="42"/>
        <v>0</v>
      </c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">
      <c r="A219" s="1"/>
      <c r="B219" s="5"/>
      <c r="C219" s="2">
        <v>7</v>
      </c>
      <c r="D219" s="4" t="s">
        <v>56</v>
      </c>
      <c r="E219" s="21">
        <v>6</v>
      </c>
      <c r="F219" s="3" t="s">
        <v>22</v>
      </c>
      <c r="G219" s="21">
        <f t="shared" si="39"/>
        <v>0</v>
      </c>
      <c r="H219" s="3" t="s">
        <v>12</v>
      </c>
      <c r="I219" s="21">
        <f t="shared" si="40"/>
        <v>0</v>
      </c>
      <c r="J219" s="3" t="s">
        <v>14</v>
      </c>
      <c r="K219" s="21">
        <f t="shared" si="41"/>
        <v>0</v>
      </c>
      <c r="L219" s="3" t="s">
        <v>18</v>
      </c>
      <c r="M219" s="22">
        <f t="shared" si="42"/>
        <v>0</v>
      </c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">
      <c r="A220" s="1"/>
      <c r="B220" s="5"/>
      <c r="C220" s="2">
        <v>8</v>
      </c>
      <c r="D220" s="4" t="s">
        <v>15</v>
      </c>
      <c r="E220" s="21">
        <v>4</v>
      </c>
      <c r="F220" s="3" t="s">
        <v>14</v>
      </c>
      <c r="G220" s="21">
        <f t="shared" si="39"/>
        <v>0</v>
      </c>
      <c r="H220" s="3" t="s">
        <v>14</v>
      </c>
      <c r="I220" s="21">
        <f t="shared" si="40"/>
        <v>0</v>
      </c>
      <c r="J220" s="3" t="s">
        <v>56</v>
      </c>
      <c r="K220" s="21">
        <f t="shared" si="41"/>
        <v>0</v>
      </c>
      <c r="L220" s="3" t="s">
        <v>14</v>
      </c>
      <c r="M220" s="22">
        <f t="shared" si="42"/>
        <v>0</v>
      </c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">
      <c r="A221" s="1"/>
      <c r="B221" s="5"/>
      <c r="C221" s="2">
        <v>9</v>
      </c>
      <c r="D221" s="4" t="s">
        <v>67</v>
      </c>
      <c r="E221" s="21">
        <v>2</v>
      </c>
      <c r="F221" s="3" t="s">
        <v>56</v>
      </c>
      <c r="G221" s="21">
        <f t="shared" si="39"/>
        <v>0</v>
      </c>
      <c r="H221" s="3" t="s">
        <v>56</v>
      </c>
      <c r="I221" s="21">
        <f t="shared" si="40"/>
        <v>0</v>
      </c>
      <c r="J221" s="3" t="s">
        <v>59</v>
      </c>
      <c r="K221" s="21">
        <f t="shared" si="41"/>
        <v>0</v>
      </c>
      <c r="L221" s="3" t="s">
        <v>56</v>
      </c>
      <c r="M221" s="22">
        <f t="shared" si="42"/>
        <v>0</v>
      </c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">
      <c r="A222" s="1"/>
      <c r="B222" s="5"/>
      <c r="C222" s="2">
        <v>10</v>
      </c>
      <c r="D222" s="4" t="s">
        <v>63</v>
      </c>
      <c r="E222" s="21">
        <v>1</v>
      </c>
      <c r="F222" s="3" t="s">
        <v>64</v>
      </c>
      <c r="G222" s="21">
        <f t="shared" si="39"/>
        <v>0</v>
      </c>
      <c r="H222" s="3" t="s">
        <v>13</v>
      </c>
      <c r="I222" s="21">
        <f t="shared" si="40"/>
        <v>0</v>
      </c>
      <c r="J222" s="3" t="s">
        <v>15</v>
      </c>
      <c r="K222" s="21">
        <f t="shared" si="41"/>
        <v>0</v>
      </c>
      <c r="L222" s="6" t="s">
        <v>59</v>
      </c>
      <c r="M222" s="22">
        <f t="shared" si="42"/>
        <v>0</v>
      </c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">
      <c r="A223" s="1"/>
      <c r="B223" s="19"/>
      <c r="C223" s="2" t="s">
        <v>4</v>
      </c>
      <c r="D223" s="4" t="s">
        <v>21</v>
      </c>
      <c r="E223" s="21">
        <v>1</v>
      </c>
      <c r="F223" s="3" t="s">
        <v>21</v>
      </c>
      <c r="G223" s="21">
        <f t="shared" si="39"/>
        <v>1</v>
      </c>
      <c r="H223" s="3" t="s">
        <v>21</v>
      </c>
      <c r="I223" s="21">
        <f t="shared" si="40"/>
        <v>1</v>
      </c>
      <c r="J223" s="3" t="s">
        <v>21</v>
      </c>
      <c r="K223" s="21">
        <f t="shared" si="41"/>
        <v>1</v>
      </c>
      <c r="L223" s="3" t="s">
        <v>8</v>
      </c>
      <c r="M223" s="21">
        <f t="shared" si="42"/>
        <v>0</v>
      </c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">
      <c r="A224" s="1"/>
      <c r="B224" s="19"/>
      <c r="C224" s="2" t="s">
        <v>19</v>
      </c>
      <c r="D224" s="4"/>
      <c r="E224" s="21">
        <v>10</v>
      </c>
      <c r="F224" s="3" t="s">
        <v>59</v>
      </c>
      <c r="G224" s="21">
        <f t="shared" si="39"/>
        <v>0</v>
      </c>
      <c r="H224" s="3" t="s">
        <v>62</v>
      </c>
      <c r="I224" s="21">
        <f>IF(H224=$D224,$E224,0)+10</f>
        <v>10</v>
      </c>
      <c r="J224" s="3" t="s">
        <v>22</v>
      </c>
      <c r="K224" s="21">
        <f t="shared" si="41"/>
        <v>0</v>
      </c>
      <c r="L224" s="3" t="s">
        <v>73</v>
      </c>
      <c r="M224" s="22">
        <f t="shared" si="42"/>
        <v>0</v>
      </c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">
      <c r="A225" s="1"/>
      <c r="B225" s="15"/>
      <c r="C225" s="16"/>
      <c r="D225" s="17"/>
      <c r="E225" s="20"/>
      <c r="F225" s="15"/>
      <c r="G225" s="20"/>
      <c r="H225" s="15"/>
      <c r="I225" s="20"/>
      <c r="J225" s="15"/>
      <c r="K225" s="20"/>
      <c r="L225" s="18"/>
      <c r="M225" s="20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">
      <c r="A226" s="1"/>
      <c r="B226" s="39"/>
      <c r="C226" s="40"/>
      <c r="D226" s="40" t="s">
        <v>16</v>
      </c>
      <c r="E226" s="41"/>
      <c r="F226" s="42"/>
      <c r="G226" s="41">
        <f>SUM(G213:G224)</f>
        <v>26</v>
      </c>
      <c r="H226" s="42"/>
      <c r="I226" s="41">
        <f>SUM(I213:I224)</f>
        <v>36</v>
      </c>
      <c r="J226" s="42"/>
      <c r="K226" s="41">
        <f>SUM(K213:K224)</f>
        <v>26</v>
      </c>
      <c r="L226" s="43"/>
      <c r="M226" s="41">
        <f>SUM(M213:M224)</f>
        <v>0</v>
      </c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">
      <c r="A227" s="1"/>
      <c r="B227" s="39"/>
      <c r="C227" s="40"/>
      <c r="D227" s="40" t="s">
        <v>5</v>
      </c>
      <c r="E227" s="41"/>
      <c r="F227" s="42"/>
      <c r="G227" s="41">
        <f>G226+G207</f>
        <v>129</v>
      </c>
      <c r="H227" s="42"/>
      <c r="I227" s="41">
        <f>I226+I207</f>
        <v>144</v>
      </c>
      <c r="J227" s="42"/>
      <c r="K227" s="41">
        <f>K226+K207</f>
        <v>149</v>
      </c>
      <c r="L227" s="43"/>
      <c r="M227" s="41">
        <f>M226+M207</f>
        <v>218</v>
      </c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24" x14ac:dyDescent="0.3">
      <c r="A229" s="1"/>
      <c r="B229" s="53" t="s">
        <v>37</v>
      </c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9" x14ac:dyDescent="0.25">
      <c r="A230" s="1"/>
      <c r="B230" s="34"/>
      <c r="C230" s="35"/>
      <c r="D230" s="35"/>
      <c r="E230" s="36"/>
      <c r="F230" s="51" t="s">
        <v>0</v>
      </c>
      <c r="G230" s="52"/>
      <c r="H230" s="51" t="s">
        <v>1</v>
      </c>
      <c r="I230" s="52"/>
      <c r="J230" s="51" t="s">
        <v>2</v>
      </c>
      <c r="K230" s="52"/>
      <c r="L230" s="51" t="s">
        <v>3</v>
      </c>
      <c r="M230" s="52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9" x14ac:dyDescent="0.25">
      <c r="A231" s="1"/>
      <c r="B231" s="49" t="s">
        <v>7</v>
      </c>
      <c r="C231" s="50"/>
      <c r="D231" s="50"/>
      <c r="E231" s="37" t="s">
        <v>6</v>
      </c>
      <c r="F231" s="38" t="s">
        <v>7</v>
      </c>
      <c r="G231" s="37" t="s">
        <v>6</v>
      </c>
      <c r="H231" s="38" t="s">
        <v>7</v>
      </c>
      <c r="I231" s="37" t="s">
        <v>6</v>
      </c>
      <c r="J231" s="38" t="s">
        <v>7</v>
      </c>
      <c r="K231" s="37" t="s">
        <v>6</v>
      </c>
      <c r="L231" s="38" t="s">
        <v>7</v>
      </c>
      <c r="M231" s="37" t="s">
        <v>6</v>
      </c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">
      <c r="A232" s="1"/>
      <c r="B232" s="9"/>
      <c r="C232" s="10"/>
      <c r="D232" s="11"/>
      <c r="E232" s="12"/>
      <c r="F232" s="13"/>
      <c r="G232" s="12"/>
      <c r="H232" s="13"/>
      <c r="I232" s="12"/>
      <c r="J232" s="13"/>
      <c r="K232" s="12"/>
      <c r="L232" s="14"/>
      <c r="M232" s="12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">
      <c r="A233" s="1"/>
      <c r="B233" s="5"/>
      <c r="C233" s="2">
        <v>1</v>
      </c>
      <c r="D233" s="4" t="s">
        <v>10</v>
      </c>
      <c r="E233" s="21">
        <v>25</v>
      </c>
      <c r="F233" s="3" t="s">
        <v>21</v>
      </c>
      <c r="G233" s="21">
        <f>IF(F233=$D233,$E233,0)</f>
        <v>0</v>
      </c>
      <c r="H233" s="3" t="s">
        <v>10</v>
      </c>
      <c r="I233" s="21">
        <f>IF(H233=$D233,$E233,0)</f>
        <v>25</v>
      </c>
      <c r="J233" s="3" t="s">
        <v>12</v>
      </c>
      <c r="K233" s="21">
        <f>IF(J233=$D233,$E233,0)</f>
        <v>0</v>
      </c>
      <c r="L233" s="3" t="s">
        <v>12</v>
      </c>
      <c r="M233" s="22">
        <f>IF(L233=$D233,$E233,0)</f>
        <v>0</v>
      </c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">
      <c r="A234" s="1"/>
      <c r="B234" s="5"/>
      <c r="C234" s="2">
        <v>2</v>
      </c>
      <c r="D234" s="4" t="s">
        <v>12</v>
      </c>
      <c r="E234" s="21">
        <v>18</v>
      </c>
      <c r="F234" s="3" t="s">
        <v>12</v>
      </c>
      <c r="G234" s="21">
        <f t="shared" ref="G234:I244" si="43">IF(F234=$D234,$E234,0)</f>
        <v>18</v>
      </c>
      <c r="H234" s="3" t="s">
        <v>21</v>
      </c>
      <c r="I234" s="21">
        <f t="shared" ref="I234:I243" si="44">IF(H234=$D234,$E234,0)</f>
        <v>0</v>
      </c>
      <c r="J234" s="3" t="s">
        <v>21</v>
      </c>
      <c r="K234" s="21">
        <f t="shared" ref="K234:K243" si="45">IF(J234=$D234,$E234,0)</f>
        <v>0</v>
      </c>
      <c r="L234" s="3" t="s">
        <v>10</v>
      </c>
      <c r="M234" s="22">
        <f t="shared" ref="M234:M243" si="46">IF(L234=$D234,$E234,0)</f>
        <v>0</v>
      </c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">
      <c r="A235" s="1"/>
      <c r="B235" s="5"/>
      <c r="C235" s="2">
        <v>3</v>
      </c>
      <c r="D235" s="4" t="s">
        <v>14</v>
      </c>
      <c r="E235" s="21">
        <v>15</v>
      </c>
      <c r="F235" s="3" t="s">
        <v>10</v>
      </c>
      <c r="G235" s="21">
        <f t="shared" si="43"/>
        <v>0</v>
      </c>
      <c r="H235" s="3" t="s">
        <v>12</v>
      </c>
      <c r="I235" s="21">
        <f t="shared" si="44"/>
        <v>0</v>
      </c>
      <c r="J235" s="3" t="s">
        <v>10</v>
      </c>
      <c r="K235" s="21">
        <f t="shared" si="45"/>
        <v>0</v>
      </c>
      <c r="L235" s="3" t="s">
        <v>21</v>
      </c>
      <c r="M235" s="22">
        <f t="shared" si="46"/>
        <v>0</v>
      </c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">
      <c r="A236" s="1"/>
      <c r="B236" s="5"/>
      <c r="C236" s="2">
        <v>4</v>
      </c>
      <c r="D236" s="4" t="s">
        <v>8</v>
      </c>
      <c r="E236" s="21">
        <v>12</v>
      </c>
      <c r="F236" s="3" t="s">
        <v>14</v>
      </c>
      <c r="G236" s="21">
        <f t="shared" si="43"/>
        <v>0</v>
      </c>
      <c r="H236" s="3" t="s">
        <v>8</v>
      </c>
      <c r="I236" s="21">
        <f t="shared" si="44"/>
        <v>12</v>
      </c>
      <c r="J236" s="3" t="s">
        <v>14</v>
      </c>
      <c r="K236" s="21">
        <f t="shared" si="45"/>
        <v>0</v>
      </c>
      <c r="L236" s="3" t="s">
        <v>8</v>
      </c>
      <c r="M236" s="22">
        <f t="shared" si="46"/>
        <v>12</v>
      </c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">
      <c r="A237" s="1"/>
      <c r="B237" s="5"/>
      <c r="C237" s="2">
        <v>5</v>
      </c>
      <c r="D237" s="4" t="s">
        <v>18</v>
      </c>
      <c r="E237" s="21">
        <v>10</v>
      </c>
      <c r="F237" s="3" t="s">
        <v>8</v>
      </c>
      <c r="G237" s="21">
        <f t="shared" si="43"/>
        <v>0</v>
      </c>
      <c r="H237" s="3" t="s">
        <v>14</v>
      </c>
      <c r="I237" s="21">
        <f t="shared" si="44"/>
        <v>0</v>
      </c>
      <c r="J237" s="3" t="s">
        <v>8</v>
      </c>
      <c r="K237" s="21">
        <f t="shared" si="45"/>
        <v>0</v>
      </c>
      <c r="L237" s="3" t="s">
        <v>14</v>
      </c>
      <c r="M237" s="22">
        <f t="shared" si="46"/>
        <v>0</v>
      </c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">
      <c r="A238" s="1"/>
      <c r="B238" s="5"/>
      <c r="C238" s="2">
        <v>6</v>
      </c>
      <c r="D238" s="4" t="s">
        <v>22</v>
      </c>
      <c r="E238" s="21">
        <v>8</v>
      </c>
      <c r="F238" s="3" t="s">
        <v>75</v>
      </c>
      <c r="G238" s="21">
        <f t="shared" si="43"/>
        <v>0</v>
      </c>
      <c r="H238" s="3" t="s">
        <v>18</v>
      </c>
      <c r="I238" s="21">
        <f t="shared" si="44"/>
        <v>0</v>
      </c>
      <c r="J238" s="3" t="s">
        <v>18</v>
      </c>
      <c r="K238" s="21">
        <f t="shared" si="45"/>
        <v>0</v>
      </c>
      <c r="L238" s="3" t="s">
        <v>9</v>
      </c>
      <c r="M238" s="22">
        <f t="shared" si="46"/>
        <v>0</v>
      </c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">
      <c r="A239" s="1"/>
      <c r="B239" s="5"/>
      <c r="C239" s="2">
        <v>7</v>
      </c>
      <c r="D239" s="4" t="s">
        <v>56</v>
      </c>
      <c r="E239" s="21">
        <v>6</v>
      </c>
      <c r="F239" s="3" t="s">
        <v>9</v>
      </c>
      <c r="G239" s="21">
        <f t="shared" si="43"/>
        <v>0</v>
      </c>
      <c r="H239" s="3" t="s">
        <v>22</v>
      </c>
      <c r="I239" s="21">
        <f t="shared" si="44"/>
        <v>0</v>
      </c>
      <c r="J239" s="3" t="s">
        <v>9</v>
      </c>
      <c r="K239" s="21">
        <f t="shared" si="45"/>
        <v>0</v>
      </c>
      <c r="L239" s="3" t="s">
        <v>74</v>
      </c>
      <c r="M239" s="22">
        <f t="shared" si="46"/>
        <v>0</v>
      </c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">
      <c r="A240" s="1"/>
      <c r="B240" s="5"/>
      <c r="C240" s="2">
        <v>8</v>
      </c>
      <c r="D240" s="4" t="s">
        <v>59</v>
      </c>
      <c r="E240" s="21">
        <v>4</v>
      </c>
      <c r="F240" s="3" t="s">
        <v>22</v>
      </c>
      <c r="G240" s="21">
        <f t="shared" si="43"/>
        <v>0</v>
      </c>
      <c r="H240" s="3" t="s">
        <v>9</v>
      </c>
      <c r="I240" s="21">
        <f t="shared" si="44"/>
        <v>0</v>
      </c>
      <c r="J240" s="3" t="s">
        <v>22</v>
      </c>
      <c r="K240" s="21">
        <f t="shared" si="45"/>
        <v>0</v>
      </c>
      <c r="L240" s="3" t="s">
        <v>18</v>
      </c>
      <c r="M240" s="22">
        <f t="shared" si="46"/>
        <v>0</v>
      </c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">
      <c r="A241" s="1"/>
      <c r="B241" s="5"/>
      <c r="C241" s="2">
        <v>9</v>
      </c>
      <c r="D241" s="4" t="s">
        <v>65</v>
      </c>
      <c r="E241" s="21">
        <v>2</v>
      </c>
      <c r="F241" s="3" t="s">
        <v>76</v>
      </c>
      <c r="G241" s="21">
        <f t="shared" si="43"/>
        <v>0</v>
      </c>
      <c r="H241" s="3" t="s">
        <v>17</v>
      </c>
      <c r="I241" s="21">
        <f t="shared" si="44"/>
        <v>0</v>
      </c>
      <c r="J241" s="3" t="s">
        <v>59</v>
      </c>
      <c r="K241" s="21">
        <f t="shared" si="45"/>
        <v>0</v>
      </c>
      <c r="L241" s="3" t="s">
        <v>17</v>
      </c>
      <c r="M241" s="22">
        <f t="shared" si="46"/>
        <v>0</v>
      </c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">
      <c r="A242" s="1"/>
      <c r="B242" s="5"/>
      <c r="C242" s="2">
        <v>10</v>
      </c>
      <c r="D242" s="4" t="s">
        <v>64</v>
      </c>
      <c r="E242" s="21">
        <v>1</v>
      </c>
      <c r="F242" s="3" t="s">
        <v>56</v>
      </c>
      <c r="G242" s="21">
        <f t="shared" si="43"/>
        <v>0</v>
      </c>
      <c r="H242" s="3" t="s">
        <v>59</v>
      </c>
      <c r="I242" s="21">
        <f t="shared" si="44"/>
        <v>0</v>
      </c>
      <c r="J242" s="3" t="s">
        <v>13</v>
      </c>
      <c r="K242" s="21">
        <f t="shared" si="45"/>
        <v>0</v>
      </c>
      <c r="L242" s="6" t="s">
        <v>59</v>
      </c>
      <c r="M242" s="22">
        <f t="shared" si="46"/>
        <v>0</v>
      </c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">
      <c r="A243" s="1"/>
      <c r="B243" s="19"/>
      <c r="C243" s="2" t="s">
        <v>4</v>
      </c>
      <c r="D243" s="4" t="s">
        <v>10</v>
      </c>
      <c r="E243" s="21">
        <v>1</v>
      </c>
      <c r="F243" s="3" t="s">
        <v>21</v>
      </c>
      <c r="G243" s="21">
        <f t="shared" si="43"/>
        <v>0</v>
      </c>
      <c r="H243" s="3" t="s">
        <v>21</v>
      </c>
      <c r="I243" s="21">
        <f t="shared" si="44"/>
        <v>0</v>
      </c>
      <c r="J243" s="3" t="s">
        <v>21</v>
      </c>
      <c r="K243" s="21">
        <f t="shared" si="45"/>
        <v>0</v>
      </c>
      <c r="L243" s="3" t="s">
        <v>12</v>
      </c>
      <c r="M243" s="22">
        <f t="shared" si="46"/>
        <v>0</v>
      </c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">
      <c r="A244" s="1"/>
      <c r="B244" s="19"/>
      <c r="C244" s="2" t="s">
        <v>19</v>
      </c>
      <c r="D244" s="4" t="s">
        <v>11</v>
      </c>
      <c r="E244" s="21">
        <v>10</v>
      </c>
      <c r="F244" s="3" t="s">
        <v>59</v>
      </c>
      <c r="G244" s="21">
        <f t="shared" si="43"/>
        <v>0</v>
      </c>
      <c r="H244" s="3" t="s">
        <v>11</v>
      </c>
      <c r="I244" s="21">
        <f t="shared" si="43"/>
        <v>10</v>
      </c>
      <c r="J244" s="3"/>
      <c r="K244" s="21">
        <f>IF(J244=$D244,$E244,0)*0</f>
        <v>0</v>
      </c>
      <c r="L244" s="3"/>
      <c r="M244" s="21">
        <f>IF(L244=$D244,$E244,0)*0</f>
        <v>0</v>
      </c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">
      <c r="A245" s="1"/>
      <c r="B245" s="15"/>
      <c r="C245" s="16"/>
      <c r="D245" s="17"/>
      <c r="E245" s="20"/>
      <c r="F245" s="15"/>
      <c r="G245" s="20"/>
      <c r="H245" s="15"/>
      <c r="I245" s="20"/>
      <c r="J245" s="15"/>
      <c r="K245" s="20"/>
      <c r="L245" s="18"/>
      <c r="M245" s="20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">
      <c r="A246" s="1"/>
      <c r="B246" s="39"/>
      <c r="C246" s="40"/>
      <c r="D246" s="40" t="s">
        <v>16</v>
      </c>
      <c r="E246" s="41"/>
      <c r="F246" s="42"/>
      <c r="G246" s="41">
        <f>SUM(G233:G244)</f>
        <v>18</v>
      </c>
      <c r="H246" s="42"/>
      <c r="I246" s="41">
        <f>SUM(I233:I244)</f>
        <v>47</v>
      </c>
      <c r="J246" s="42"/>
      <c r="K246" s="41">
        <f>SUM(K233:K244)</f>
        <v>0</v>
      </c>
      <c r="L246" s="43"/>
      <c r="M246" s="41">
        <f>SUM(M233:M244)</f>
        <v>12</v>
      </c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">
      <c r="A247" s="1"/>
      <c r="B247" s="39"/>
      <c r="C247" s="40"/>
      <c r="D247" s="40" t="s">
        <v>5</v>
      </c>
      <c r="E247" s="41"/>
      <c r="F247" s="42"/>
      <c r="G247" s="41">
        <f>G246+G227</f>
        <v>147</v>
      </c>
      <c r="H247" s="42"/>
      <c r="I247" s="41">
        <f>I246+I227</f>
        <v>191</v>
      </c>
      <c r="J247" s="42"/>
      <c r="K247" s="41">
        <f>K246+K227</f>
        <v>149</v>
      </c>
      <c r="L247" s="43"/>
      <c r="M247" s="41">
        <f>M246+M227</f>
        <v>230</v>
      </c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">
      <c r="A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24" x14ac:dyDescent="0.3">
      <c r="A249" s="1"/>
      <c r="B249" s="53" t="s">
        <v>38</v>
      </c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9" x14ac:dyDescent="0.25">
      <c r="A250" s="1"/>
      <c r="B250" s="34"/>
      <c r="C250" s="35"/>
      <c r="D250" s="35"/>
      <c r="E250" s="36"/>
      <c r="F250" s="51" t="s">
        <v>0</v>
      </c>
      <c r="G250" s="52"/>
      <c r="H250" s="51" t="s">
        <v>1</v>
      </c>
      <c r="I250" s="52"/>
      <c r="J250" s="51" t="s">
        <v>2</v>
      </c>
      <c r="K250" s="52"/>
      <c r="L250" s="51" t="s">
        <v>3</v>
      </c>
      <c r="M250" s="52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9" x14ac:dyDescent="0.25">
      <c r="A251" s="1"/>
      <c r="B251" s="49" t="s">
        <v>7</v>
      </c>
      <c r="C251" s="50"/>
      <c r="D251" s="50"/>
      <c r="E251" s="37" t="s">
        <v>6</v>
      </c>
      <c r="F251" s="38" t="s">
        <v>7</v>
      </c>
      <c r="G251" s="37" t="s">
        <v>6</v>
      </c>
      <c r="H251" s="38" t="s">
        <v>7</v>
      </c>
      <c r="I251" s="37" t="s">
        <v>6</v>
      </c>
      <c r="J251" s="38" t="s">
        <v>7</v>
      </c>
      <c r="K251" s="37" t="s">
        <v>6</v>
      </c>
      <c r="L251" s="38" t="s">
        <v>7</v>
      </c>
      <c r="M251" s="37" t="s">
        <v>6</v>
      </c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">
      <c r="A252" s="1"/>
      <c r="B252" s="9"/>
      <c r="C252" s="10"/>
      <c r="D252" s="11"/>
      <c r="E252" s="12"/>
      <c r="F252" s="13"/>
      <c r="G252" s="12"/>
      <c r="H252" s="13"/>
      <c r="I252" s="12"/>
      <c r="J252" s="13"/>
      <c r="K252" s="12"/>
      <c r="L252" s="14"/>
      <c r="M252" s="12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">
      <c r="A253" s="1"/>
      <c r="B253" s="5"/>
      <c r="C253" s="2">
        <v>1</v>
      </c>
      <c r="D253" s="4" t="s">
        <v>12</v>
      </c>
      <c r="E253" s="21">
        <v>25</v>
      </c>
      <c r="F253" s="3"/>
      <c r="G253" s="21">
        <f>IF(F253=$D253,$E253,0)</f>
        <v>0</v>
      </c>
      <c r="H253" s="3" t="s">
        <v>10</v>
      </c>
      <c r="I253" s="21">
        <f>IF(H253=$D253,$E253,0)</f>
        <v>0</v>
      </c>
      <c r="J253" s="3" t="s">
        <v>21</v>
      </c>
      <c r="K253" s="21">
        <f>IF(J253=$D253,$E253,0)</f>
        <v>0</v>
      </c>
      <c r="L253" s="3" t="s">
        <v>12</v>
      </c>
      <c r="M253" s="22">
        <f>IF(L253=$D253,$E253,0)</f>
        <v>25</v>
      </c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">
      <c r="A254" s="1"/>
      <c r="B254" s="5"/>
      <c r="C254" s="2">
        <v>2</v>
      </c>
      <c r="D254" s="4" t="s">
        <v>8</v>
      </c>
      <c r="E254" s="21">
        <v>18</v>
      </c>
      <c r="F254" s="4"/>
      <c r="G254" s="21">
        <f t="shared" ref="G254:G263" si="47">IF(F254=$D254,$E254,0)</f>
        <v>0</v>
      </c>
      <c r="H254" s="3" t="s">
        <v>9</v>
      </c>
      <c r="I254" s="21">
        <f t="shared" ref="I254:I263" si="48">IF(H254=$D254,$E254,0)</f>
        <v>0</v>
      </c>
      <c r="J254" s="3" t="s">
        <v>10</v>
      </c>
      <c r="K254" s="21">
        <f t="shared" ref="K254:K263" si="49">IF(J254=$D254,$E254,0)</f>
        <v>0</v>
      </c>
      <c r="L254" s="3" t="s">
        <v>21</v>
      </c>
      <c r="M254" s="22">
        <f t="shared" ref="M254:M264" si="50">IF(L254=$D254,$E254,0)</f>
        <v>0</v>
      </c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">
      <c r="A255" s="1"/>
      <c r="B255" s="5"/>
      <c r="C255" s="2">
        <v>3</v>
      </c>
      <c r="D255" s="4" t="s">
        <v>21</v>
      </c>
      <c r="E255" s="21">
        <v>15</v>
      </c>
      <c r="F255" s="4"/>
      <c r="G255" s="21">
        <f t="shared" si="47"/>
        <v>0</v>
      </c>
      <c r="H255" s="4" t="s">
        <v>12</v>
      </c>
      <c r="I255" s="21">
        <f t="shared" si="48"/>
        <v>0</v>
      </c>
      <c r="J255" s="3" t="s">
        <v>12</v>
      </c>
      <c r="K255" s="21">
        <f t="shared" si="49"/>
        <v>0</v>
      </c>
      <c r="L255" s="3" t="s">
        <v>10</v>
      </c>
      <c r="M255" s="22">
        <f t="shared" si="50"/>
        <v>0</v>
      </c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">
      <c r="A256" s="1"/>
      <c r="B256" s="5"/>
      <c r="C256" s="2">
        <v>4</v>
      </c>
      <c r="D256" s="4" t="s">
        <v>18</v>
      </c>
      <c r="E256" s="21">
        <v>12</v>
      </c>
      <c r="F256" s="4"/>
      <c r="G256" s="21">
        <f t="shared" si="47"/>
        <v>0</v>
      </c>
      <c r="H256" s="4" t="s">
        <v>21</v>
      </c>
      <c r="I256" s="21">
        <f t="shared" si="48"/>
        <v>0</v>
      </c>
      <c r="J256" s="3" t="s">
        <v>9</v>
      </c>
      <c r="K256" s="21">
        <f t="shared" si="49"/>
        <v>0</v>
      </c>
      <c r="L256" s="3" t="s">
        <v>9</v>
      </c>
      <c r="M256" s="22">
        <f t="shared" si="50"/>
        <v>0</v>
      </c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">
      <c r="A257" s="1"/>
      <c r="B257" s="5"/>
      <c r="C257" s="2">
        <v>5</v>
      </c>
      <c r="D257" s="4" t="s">
        <v>10</v>
      </c>
      <c r="E257" s="21">
        <v>10</v>
      </c>
      <c r="F257" s="4"/>
      <c r="G257" s="21">
        <f t="shared" si="47"/>
        <v>0</v>
      </c>
      <c r="H257" s="3" t="s">
        <v>8</v>
      </c>
      <c r="I257" s="21">
        <f t="shared" si="48"/>
        <v>0</v>
      </c>
      <c r="J257" s="3" t="s">
        <v>8</v>
      </c>
      <c r="K257" s="21">
        <f t="shared" si="49"/>
        <v>0</v>
      </c>
      <c r="L257" s="3" t="s">
        <v>14</v>
      </c>
      <c r="M257" s="22">
        <f t="shared" si="50"/>
        <v>0</v>
      </c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">
      <c r="A258" s="1"/>
      <c r="B258" s="5"/>
      <c r="C258" s="2">
        <v>6</v>
      </c>
      <c r="D258" s="4" t="s">
        <v>22</v>
      </c>
      <c r="E258" s="21">
        <v>8</v>
      </c>
      <c r="F258" s="3"/>
      <c r="G258" s="21">
        <f t="shared" si="47"/>
        <v>0</v>
      </c>
      <c r="H258" s="3" t="s">
        <v>14</v>
      </c>
      <c r="I258" s="21">
        <f t="shared" si="48"/>
        <v>0</v>
      </c>
      <c r="J258" s="3" t="s">
        <v>14</v>
      </c>
      <c r="K258" s="21">
        <f t="shared" si="49"/>
        <v>0</v>
      </c>
      <c r="L258" s="3" t="s">
        <v>8</v>
      </c>
      <c r="M258" s="22">
        <f t="shared" si="50"/>
        <v>0</v>
      </c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">
      <c r="A259" s="1"/>
      <c r="B259" s="5"/>
      <c r="C259" s="2">
        <v>7</v>
      </c>
      <c r="D259" s="4" t="s">
        <v>14</v>
      </c>
      <c r="E259" s="21">
        <v>6</v>
      </c>
      <c r="F259" s="3"/>
      <c r="G259" s="21">
        <f t="shared" si="47"/>
        <v>0</v>
      </c>
      <c r="H259" s="3" t="s">
        <v>18</v>
      </c>
      <c r="I259" s="21">
        <f t="shared" si="48"/>
        <v>0</v>
      </c>
      <c r="J259" s="3" t="s">
        <v>18</v>
      </c>
      <c r="K259" s="21">
        <f t="shared" si="49"/>
        <v>0</v>
      </c>
      <c r="L259" s="3" t="s">
        <v>18</v>
      </c>
      <c r="M259" s="22">
        <f t="shared" si="50"/>
        <v>0</v>
      </c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">
      <c r="A260" s="1"/>
      <c r="B260" s="5"/>
      <c r="C260" s="2">
        <v>8</v>
      </c>
      <c r="D260" s="4" t="s">
        <v>9</v>
      </c>
      <c r="E260" s="21">
        <v>4</v>
      </c>
      <c r="F260" s="3"/>
      <c r="G260" s="21">
        <f t="shared" si="47"/>
        <v>0</v>
      </c>
      <c r="H260" s="3" t="s">
        <v>77</v>
      </c>
      <c r="I260" s="21">
        <f t="shared" si="48"/>
        <v>0</v>
      </c>
      <c r="J260" s="3" t="s">
        <v>22</v>
      </c>
      <c r="K260" s="21">
        <f t="shared" si="49"/>
        <v>0</v>
      </c>
      <c r="L260" s="3" t="s">
        <v>22</v>
      </c>
      <c r="M260" s="22">
        <f t="shared" si="50"/>
        <v>0</v>
      </c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">
      <c r="A261" s="1"/>
      <c r="B261" s="5"/>
      <c r="C261" s="2">
        <v>9</v>
      </c>
      <c r="D261" s="4" t="s">
        <v>59</v>
      </c>
      <c r="E261" s="21">
        <v>2</v>
      </c>
      <c r="F261" s="3"/>
      <c r="G261" s="21">
        <f t="shared" si="47"/>
        <v>0</v>
      </c>
      <c r="H261" s="3" t="s">
        <v>59</v>
      </c>
      <c r="I261" s="21">
        <f t="shared" si="48"/>
        <v>2</v>
      </c>
      <c r="J261" s="3" t="s">
        <v>59</v>
      </c>
      <c r="K261" s="21">
        <f t="shared" si="49"/>
        <v>2</v>
      </c>
      <c r="L261" s="3" t="s">
        <v>59</v>
      </c>
      <c r="M261" s="22">
        <f t="shared" si="50"/>
        <v>2</v>
      </c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">
      <c r="A262" s="1"/>
      <c r="B262" s="5"/>
      <c r="C262" s="2">
        <v>10</v>
      </c>
      <c r="D262" s="4" t="s">
        <v>65</v>
      </c>
      <c r="E262" s="21">
        <v>1</v>
      </c>
      <c r="F262" s="3"/>
      <c r="G262" s="21">
        <f t="shared" si="47"/>
        <v>0</v>
      </c>
      <c r="H262" s="3" t="s">
        <v>56</v>
      </c>
      <c r="I262" s="21">
        <f t="shared" si="48"/>
        <v>0</v>
      </c>
      <c r="J262" s="3" t="s">
        <v>56</v>
      </c>
      <c r="K262" s="21">
        <f t="shared" si="49"/>
        <v>0</v>
      </c>
      <c r="L262" s="3" t="s">
        <v>56</v>
      </c>
      <c r="M262" s="22">
        <f t="shared" si="50"/>
        <v>0</v>
      </c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">
      <c r="A263" s="1"/>
      <c r="B263" s="19"/>
      <c r="C263" s="2" t="s">
        <v>4</v>
      </c>
      <c r="D263" s="4" t="s">
        <v>21</v>
      </c>
      <c r="E263" s="21">
        <v>1</v>
      </c>
      <c r="F263" s="4"/>
      <c r="G263" s="21">
        <f t="shared" si="47"/>
        <v>0</v>
      </c>
      <c r="H263" s="3" t="s">
        <v>9</v>
      </c>
      <c r="I263" s="21">
        <f t="shared" si="48"/>
        <v>0</v>
      </c>
      <c r="J263" s="3" t="s">
        <v>21</v>
      </c>
      <c r="K263" s="21">
        <f t="shared" si="49"/>
        <v>1</v>
      </c>
      <c r="L263" s="3" t="s">
        <v>21</v>
      </c>
      <c r="M263" s="22">
        <f t="shared" si="50"/>
        <v>1</v>
      </c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">
      <c r="A264" s="1"/>
      <c r="B264" s="19"/>
      <c r="C264" s="2" t="s">
        <v>19</v>
      </c>
      <c r="D264" s="4"/>
      <c r="E264" s="21">
        <v>10</v>
      </c>
      <c r="F264" s="3"/>
      <c r="G264" s="21">
        <f>IF(F264=$D264,$E264,0)*0</f>
        <v>0</v>
      </c>
      <c r="H264" s="3" t="s">
        <v>62</v>
      </c>
      <c r="I264" s="21">
        <f>IF(H264=$D264,$E264,0)+10</f>
        <v>10</v>
      </c>
      <c r="J264" s="3" t="s">
        <v>66</v>
      </c>
      <c r="K264" s="21">
        <f>IF(J264=$D264,$E264,0)+10</f>
        <v>10</v>
      </c>
      <c r="L264" s="3" t="s">
        <v>11</v>
      </c>
      <c r="M264" s="22">
        <f t="shared" si="50"/>
        <v>0</v>
      </c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">
      <c r="A265" s="1"/>
      <c r="B265" s="15"/>
      <c r="C265" s="16"/>
      <c r="D265" s="17"/>
      <c r="E265" s="20"/>
      <c r="F265" s="15"/>
      <c r="G265" s="20"/>
      <c r="H265" s="15"/>
      <c r="I265" s="20"/>
      <c r="J265" s="15"/>
      <c r="K265" s="20"/>
      <c r="L265" s="18"/>
      <c r="M265" s="20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">
      <c r="A266" s="1"/>
      <c r="B266" s="39"/>
      <c r="C266" s="40"/>
      <c r="D266" s="40" t="s">
        <v>16</v>
      </c>
      <c r="E266" s="41"/>
      <c r="F266" s="42"/>
      <c r="G266" s="41">
        <f>SUM(G253:G264)</f>
        <v>0</v>
      </c>
      <c r="H266" s="42"/>
      <c r="I266" s="41">
        <f>SUM(I253:I264)</f>
        <v>12</v>
      </c>
      <c r="J266" s="42"/>
      <c r="K266" s="41">
        <f>SUM(K253:K264)</f>
        <v>13</v>
      </c>
      <c r="L266" s="43"/>
      <c r="M266" s="41">
        <f>SUM(M253:M264)</f>
        <v>28</v>
      </c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">
      <c r="A267" s="1"/>
      <c r="B267" s="39"/>
      <c r="C267" s="40"/>
      <c r="D267" s="40" t="s">
        <v>5</v>
      </c>
      <c r="E267" s="41"/>
      <c r="F267" s="42"/>
      <c r="G267" s="41">
        <f>G266+G247</f>
        <v>147</v>
      </c>
      <c r="H267" s="42"/>
      <c r="I267" s="41">
        <f>I266+I247</f>
        <v>203</v>
      </c>
      <c r="J267" s="42"/>
      <c r="K267" s="41">
        <f>K266+K247</f>
        <v>162</v>
      </c>
      <c r="L267" s="43"/>
      <c r="M267" s="41">
        <f>M266+M247</f>
        <v>258</v>
      </c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24" x14ac:dyDescent="0.3">
      <c r="A269" s="1"/>
      <c r="B269" s="53" t="s">
        <v>40</v>
      </c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9" x14ac:dyDescent="0.25">
      <c r="A270" s="1"/>
      <c r="B270" s="34"/>
      <c r="C270" s="35"/>
      <c r="D270" s="35"/>
      <c r="E270" s="36"/>
      <c r="F270" s="51" t="s">
        <v>0</v>
      </c>
      <c r="G270" s="52"/>
      <c r="H270" s="51" t="s">
        <v>1</v>
      </c>
      <c r="I270" s="52"/>
      <c r="J270" s="51" t="s">
        <v>2</v>
      </c>
      <c r="K270" s="52"/>
      <c r="L270" s="51" t="s">
        <v>3</v>
      </c>
      <c r="M270" s="52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9" x14ac:dyDescent="0.25">
      <c r="A271" s="1"/>
      <c r="B271" s="49" t="s">
        <v>7</v>
      </c>
      <c r="C271" s="50"/>
      <c r="D271" s="50"/>
      <c r="E271" s="37" t="s">
        <v>6</v>
      </c>
      <c r="F271" s="38" t="s">
        <v>7</v>
      </c>
      <c r="G271" s="37" t="s">
        <v>6</v>
      </c>
      <c r="H271" s="38" t="s">
        <v>7</v>
      </c>
      <c r="I271" s="37" t="s">
        <v>6</v>
      </c>
      <c r="J271" s="38" t="s">
        <v>7</v>
      </c>
      <c r="K271" s="37" t="s">
        <v>6</v>
      </c>
      <c r="L271" s="38" t="s">
        <v>7</v>
      </c>
      <c r="M271" s="37" t="s">
        <v>6</v>
      </c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">
      <c r="A272" s="1"/>
      <c r="B272" s="9"/>
      <c r="C272" s="10"/>
      <c r="D272" s="11"/>
      <c r="E272" s="12"/>
      <c r="F272" s="13"/>
      <c r="G272" s="12"/>
      <c r="H272" s="13"/>
      <c r="I272" s="12"/>
      <c r="J272" s="13"/>
      <c r="K272" s="12"/>
      <c r="L272" s="14"/>
      <c r="M272" s="12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">
      <c r="A273" s="1"/>
      <c r="B273" s="5"/>
      <c r="C273" s="2">
        <v>1</v>
      </c>
      <c r="D273" s="4" t="s">
        <v>21</v>
      </c>
      <c r="E273" s="21">
        <v>8</v>
      </c>
      <c r="F273" s="3" t="s">
        <v>21</v>
      </c>
      <c r="G273" s="21">
        <f>IF(F273=$D273,$E273,0)</f>
        <v>8</v>
      </c>
      <c r="H273" s="3" t="s">
        <v>10</v>
      </c>
      <c r="I273" s="21">
        <f>IF(H273=$D273,$E273,0)</f>
        <v>0</v>
      </c>
      <c r="J273" s="3" t="s">
        <v>21</v>
      </c>
      <c r="K273" s="21">
        <f>IF(J273=$D273,$E273,0)</f>
        <v>8</v>
      </c>
      <c r="L273" s="3" t="s">
        <v>10</v>
      </c>
      <c r="M273" s="22">
        <f>IF(L273=$D273,$E273,0)</f>
        <v>0</v>
      </c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">
      <c r="A274" s="1"/>
      <c r="B274" s="5"/>
      <c r="C274" s="2">
        <v>2</v>
      </c>
      <c r="D274" s="4" t="s">
        <v>10</v>
      </c>
      <c r="E274" s="21">
        <v>7</v>
      </c>
      <c r="F274" s="3" t="s">
        <v>10</v>
      </c>
      <c r="G274" s="21">
        <f t="shared" ref="G274:G284" si="51">IF(F274=$D274,$E274,0)</f>
        <v>7</v>
      </c>
      <c r="H274" s="3" t="s">
        <v>21</v>
      </c>
      <c r="I274" s="21">
        <f t="shared" ref="I274:I284" si="52">IF(H274=$D274,$E274,0)</f>
        <v>0</v>
      </c>
      <c r="J274" s="3" t="s">
        <v>10</v>
      </c>
      <c r="K274" s="21">
        <f t="shared" ref="K274:K283" si="53">IF(J274=$D274,$E274,0)</f>
        <v>7</v>
      </c>
      <c r="L274" s="3" t="s">
        <v>21</v>
      </c>
      <c r="M274" s="22">
        <f t="shared" ref="M274:M284" si="54">IF(L274=$D274,$E274,0)</f>
        <v>0</v>
      </c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">
      <c r="A275" s="1"/>
      <c r="B275" s="5"/>
      <c r="C275" s="2">
        <v>3</v>
      </c>
      <c r="D275" s="4" t="s">
        <v>14</v>
      </c>
      <c r="E275" s="21">
        <v>6</v>
      </c>
      <c r="F275" s="3" t="s">
        <v>9</v>
      </c>
      <c r="G275" s="21">
        <f t="shared" si="51"/>
        <v>0</v>
      </c>
      <c r="H275" s="3" t="s">
        <v>8</v>
      </c>
      <c r="I275" s="21">
        <f t="shared" si="52"/>
        <v>0</v>
      </c>
      <c r="J275" s="3" t="s">
        <v>8</v>
      </c>
      <c r="K275" s="21">
        <f t="shared" si="53"/>
        <v>0</v>
      </c>
      <c r="L275" s="3" t="s">
        <v>8</v>
      </c>
      <c r="M275" s="22">
        <f t="shared" si="54"/>
        <v>0</v>
      </c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">
      <c r="A276" s="1"/>
      <c r="B276" s="5"/>
      <c r="C276" s="2">
        <v>4</v>
      </c>
      <c r="D276" s="4" t="s">
        <v>12</v>
      </c>
      <c r="E276" s="21">
        <v>5</v>
      </c>
      <c r="F276" s="3" t="s">
        <v>12</v>
      </c>
      <c r="G276" s="21">
        <f t="shared" si="51"/>
        <v>5</v>
      </c>
      <c r="H276" s="3" t="s">
        <v>9</v>
      </c>
      <c r="I276" s="21">
        <f t="shared" si="52"/>
        <v>0</v>
      </c>
      <c r="J276" s="3" t="s">
        <v>9</v>
      </c>
      <c r="K276" s="21">
        <f t="shared" si="53"/>
        <v>0</v>
      </c>
      <c r="L276" s="3" t="s">
        <v>12</v>
      </c>
      <c r="M276" s="22">
        <f t="shared" si="54"/>
        <v>5</v>
      </c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">
      <c r="A277" s="1"/>
      <c r="B277" s="5"/>
      <c r="C277" s="2">
        <v>5</v>
      </c>
      <c r="D277" s="4" t="s">
        <v>9</v>
      </c>
      <c r="E277" s="21">
        <v>4</v>
      </c>
      <c r="F277" s="3" t="s">
        <v>8</v>
      </c>
      <c r="G277" s="21">
        <f t="shared" si="51"/>
        <v>0</v>
      </c>
      <c r="H277" s="3" t="s">
        <v>12</v>
      </c>
      <c r="I277" s="21">
        <f t="shared" si="52"/>
        <v>0</v>
      </c>
      <c r="J277" s="3" t="s">
        <v>12</v>
      </c>
      <c r="K277" s="21">
        <f t="shared" si="53"/>
        <v>0</v>
      </c>
      <c r="L277" s="3" t="s">
        <v>9</v>
      </c>
      <c r="M277" s="22">
        <f t="shared" si="54"/>
        <v>4</v>
      </c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">
      <c r="A278" s="1"/>
      <c r="B278" s="5"/>
      <c r="C278" s="2">
        <v>6</v>
      </c>
      <c r="D278" s="4" t="s">
        <v>8</v>
      </c>
      <c r="E278" s="21">
        <v>3</v>
      </c>
      <c r="F278" s="3" t="s">
        <v>14</v>
      </c>
      <c r="G278" s="21">
        <f t="shared" si="51"/>
        <v>0</v>
      </c>
      <c r="H278" s="3" t="s">
        <v>14</v>
      </c>
      <c r="I278" s="21">
        <f t="shared" si="52"/>
        <v>0</v>
      </c>
      <c r="J278" s="3" t="s">
        <v>14</v>
      </c>
      <c r="K278" s="21">
        <f t="shared" si="53"/>
        <v>0</v>
      </c>
      <c r="L278" s="3" t="s">
        <v>14</v>
      </c>
      <c r="M278" s="22">
        <f t="shared" si="54"/>
        <v>0</v>
      </c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">
      <c r="A279" s="1"/>
      <c r="B279" s="5"/>
      <c r="C279" s="2">
        <v>7</v>
      </c>
      <c r="D279" s="4" t="s">
        <v>18</v>
      </c>
      <c r="E279" s="21">
        <v>2</v>
      </c>
      <c r="F279" s="3" t="s">
        <v>18</v>
      </c>
      <c r="G279" s="21">
        <f t="shared" si="51"/>
        <v>2</v>
      </c>
      <c r="H279" s="3" t="s">
        <v>18</v>
      </c>
      <c r="I279" s="21">
        <f t="shared" si="52"/>
        <v>2</v>
      </c>
      <c r="J279" s="3" t="s">
        <v>18</v>
      </c>
      <c r="K279" s="21">
        <f t="shared" si="53"/>
        <v>2</v>
      </c>
      <c r="L279" s="3" t="s">
        <v>18</v>
      </c>
      <c r="M279" s="22">
        <f t="shared" si="54"/>
        <v>2</v>
      </c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">
      <c r="A280" s="1"/>
      <c r="B280" s="5"/>
      <c r="C280" s="2">
        <v>8</v>
      </c>
      <c r="D280" s="4" t="s">
        <v>59</v>
      </c>
      <c r="E280" s="21">
        <v>1</v>
      </c>
      <c r="F280" s="3" t="s">
        <v>22</v>
      </c>
      <c r="G280" s="21">
        <f t="shared" si="51"/>
        <v>0</v>
      </c>
      <c r="H280" s="3" t="s">
        <v>22</v>
      </c>
      <c r="I280" s="21">
        <f t="shared" si="52"/>
        <v>0</v>
      </c>
      <c r="J280" s="3" t="s">
        <v>22</v>
      </c>
      <c r="K280" s="21">
        <f t="shared" si="53"/>
        <v>0</v>
      </c>
      <c r="L280" s="3" t="s">
        <v>59</v>
      </c>
      <c r="M280" s="22">
        <f t="shared" si="54"/>
        <v>1</v>
      </c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">
      <c r="A281" s="1"/>
      <c r="B281" s="5"/>
      <c r="C281" s="2">
        <v>9</v>
      </c>
      <c r="D281" s="4"/>
      <c r="E281" s="21">
        <v>0</v>
      </c>
      <c r="F281" s="3"/>
      <c r="G281" s="21">
        <f t="shared" si="51"/>
        <v>0</v>
      </c>
      <c r="H281" s="3"/>
      <c r="I281" s="21">
        <f t="shared" si="52"/>
        <v>0</v>
      </c>
      <c r="J281" s="3"/>
      <c r="K281" s="21">
        <f t="shared" si="53"/>
        <v>0</v>
      </c>
      <c r="L281" s="3"/>
      <c r="M281" s="22">
        <f t="shared" si="54"/>
        <v>0</v>
      </c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">
      <c r="A282" s="1"/>
      <c r="B282" s="5"/>
      <c r="C282" s="2">
        <v>10</v>
      </c>
      <c r="D282" s="4"/>
      <c r="E282" s="21">
        <v>0</v>
      </c>
      <c r="F282" s="3"/>
      <c r="G282" s="21">
        <f t="shared" si="51"/>
        <v>0</v>
      </c>
      <c r="H282" s="3"/>
      <c r="I282" s="21">
        <f t="shared" si="52"/>
        <v>0</v>
      </c>
      <c r="J282" s="3"/>
      <c r="K282" s="21">
        <f t="shared" si="53"/>
        <v>0</v>
      </c>
      <c r="L282" s="3"/>
      <c r="M282" s="22">
        <f t="shared" si="54"/>
        <v>0</v>
      </c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">
      <c r="A283" s="1"/>
      <c r="B283" s="19"/>
      <c r="C283" s="2" t="s">
        <v>4</v>
      </c>
      <c r="D283" s="4"/>
      <c r="E283" s="21">
        <v>0</v>
      </c>
      <c r="F283" s="3"/>
      <c r="G283" s="21">
        <f t="shared" si="51"/>
        <v>0</v>
      </c>
      <c r="H283" s="3"/>
      <c r="I283" s="21">
        <f t="shared" si="52"/>
        <v>0</v>
      </c>
      <c r="J283" s="3"/>
      <c r="K283" s="21">
        <f t="shared" si="53"/>
        <v>0</v>
      </c>
      <c r="L283" s="3"/>
      <c r="M283" s="22">
        <f t="shared" si="54"/>
        <v>0</v>
      </c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">
      <c r="A284" s="1"/>
      <c r="B284" s="19"/>
      <c r="C284" s="2" t="s">
        <v>19</v>
      </c>
      <c r="D284" s="4"/>
      <c r="E284" s="21">
        <v>0</v>
      </c>
      <c r="F284" s="3"/>
      <c r="G284" s="21">
        <f t="shared" si="51"/>
        <v>0</v>
      </c>
      <c r="H284" s="3"/>
      <c r="I284" s="21">
        <f t="shared" si="52"/>
        <v>0</v>
      </c>
      <c r="J284" s="3"/>
      <c r="K284" s="21">
        <f>IF(J284=$D284,$E284,0)</f>
        <v>0</v>
      </c>
      <c r="L284" s="3"/>
      <c r="M284" s="22">
        <f t="shared" si="54"/>
        <v>0</v>
      </c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">
      <c r="A285" s="1"/>
      <c r="B285" s="15"/>
      <c r="C285" s="16"/>
      <c r="D285" s="17"/>
      <c r="E285" s="20"/>
      <c r="F285" s="15"/>
      <c r="G285" s="20"/>
      <c r="H285" s="15"/>
      <c r="I285" s="20"/>
      <c r="J285" s="15"/>
      <c r="K285" s="20"/>
      <c r="L285" s="18"/>
      <c r="M285" s="20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">
      <c r="A286" s="1"/>
      <c r="B286" s="39"/>
      <c r="C286" s="40"/>
      <c r="D286" s="40" t="s">
        <v>16</v>
      </c>
      <c r="E286" s="41"/>
      <c r="F286" s="42"/>
      <c r="G286" s="41">
        <f>SUM(G273:G284)</f>
        <v>22</v>
      </c>
      <c r="H286" s="42"/>
      <c r="I286" s="41">
        <f>SUM(I273:I284)</f>
        <v>2</v>
      </c>
      <c r="J286" s="42"/>
      <c r="K286" s="41">
        <f>SUM(K273:K284)</f>
        <v>17</v>
      </c>
      <c r="L286" s="43"/>
      <c r="M286" s="41">
        <f>SUM(M273:M284)</f>
        <v>12</v>
      </c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">
      <c r="A287" s="1"/>
      <c r="B287" s="39"/>
      <c r="C287" s="40"/>
      <c r="D287" s="40" t="s">
        <v>5</v>
      </c>
      <c r="E287" s="41"/>
      <c r="F287" s="42"/>
      <c r="G287" s="41">
        <f>G286+G267</f>
        <v>169</v>
      </c>
      <c r="H287" s="42"/>
      <c r="I287" s="41">
        <f>I286+I267</f>
        <v>205</v>
      </c>
      <c r="J287" s="42"/>
      <c r="K287" s="41">
        <f>K286+K267</f>
        <v>179</v>
      </c>
      <c r="L287" s="43"/>
      <c r="M287" s="41">
        <f>M286+M267</f>
        <v>270</v>
      </c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24" x14ac:dyDescent="0.3">
      <c r="A289" s="1"/>
      <c r="B289" s="53" t="s">
        <v>39</v>
      </c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9" x14ac:dyDescent="0.25">
      <c r="A290" s="1"/>
      <c r="B290" s="34"/>
      <c r="C290" s="35"/>
      <c r="D290" s="35"/>
      <c r="E290" s="36"/>
      <c r="F290" s="51" t="s">
        <v>0</v>
      </c>
      <c r="G290" s="52"/>
      <c r="H290" s="51" t="s">
        <v>1</v>
      </c>
      <c r="I290" s="52"/>
      <c r="J290" s="51" t="s">
        <v>2</v>
      </c>
      <c r="K290" s="52"/>
      <c r="L290" s="51" t="s">
        <v>3</v>
      </c>
      <c r="M290" s="52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9" x14ac:dyDescent="0.25">
      <c r="A291" s="1"/>
      <c r="B291" s="49" t="s">
        <v>7</v>
      </c>
      <c r="C291" s="50"/>
      <c r="D291" s="50"/>
      <c r="E291" s="37" t="s">
        <v>6</v>
      </c>
      <c r="F291" s="38" t="s">
        <v>7</v>
      </c>
      <c r="G291" s="37" t="s">
        <v>6</v>
      </c>
      <c r="H291" s="38" t="s">
        <v>7</v>
      </c>
      <c r="I291" s="37" t="s">
        <v>6</v>
      </c>
      <c r="J291" s="38" t="s">
        <v>7</v>
      </c>
      <c r="K291" s="37" t="s">
        <v>6</v>
      </c>
      <c r="L291" s="38" t="s">
        <v>7</v>
      </c>
      <c r="M291" s="37" t="s">
        <v>6</v>
      </c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">
      <c r="A292" s="1"/>
      <c r="B292" s="9"/>
      <c r="C292" s="10"/>
      <c r="D292" s="11"/>
      <c r="E292" s="12"/>
      <c r="F292" s="13"/>
      <c r="G292" s="12"/>
      <c r="H292" s="13"/>
      <c r="I292" s="12"/>
      <c r="J292" s="13"/>
      <c r="K292" s="12"/>
      <c r="L292" s="14"/>
      <c r="M292" s="12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">
      <c r="A293" s="1"/>
      <c r="B293" s="5"/>
      <c r="C293" s="2">
        <v>1</v>
      </c>
      <c r="D293" s="4" t="s">
        <v>9</v>
      </c>
      <c r="E293" s="21">
        <v>25</v>
      </c>
      <c r="F293" s="3" t="s">
        <v>21</v>
      </c>
      <c r="G293" s="21">
        <f>IF(F293=$D293,$E293,0)</f>
        <v>0</v>
      </c>
      <c r="H293" s="3" t="s">
        <v>21</v>
      </c>
      <c r="I293" s="21">
        <f>IF(H293=$D293,$E293,0)</f>
        <v>0</v>
      </c>
      <c r="J293" s="3" t="s">
        <v>21</v>
      </c>
      <c r="K293" s="21">
        <f>IF(J293=$D293,$E293,0)</f>
        <v>0</v>
      </c>
      <c r="L293" s="3" t="s">
        <v>21</v>
      </c>
      <c r="M293" s="22">
        <f>IF(L293=$D293,$E293,0)</f>
        <v>0</v>
      </c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">
      <c r="A294" s="1"/>
      <c r="B294" s="5"/>
      <c r="C294" s="2">
        <v>2</v>
      </c>
      <c r="D294" s="4" t="s">
        <v>12</v>
      </c>
      <c r="E294" s="21">
        <v>18</v>
      </c>
      <c r="F294" s="3" t="s">
        <v>10</v>
      </c>
      <c r="G294" s="21">
        <f t="shared" ref="G294:G303" si="55">IF(F294=$D294,$E294,0)</f>
        <v>0</v>
      </c>
      <c r="H294" s="3" t="s">
        <v>10</v>
      </c>
      <c r="I294" s="21">
        <f t="shared" ref="I294:I304" si="56">IF(H294=$D294,$E294,0)</f>
        <v>0</v>
      </c>
      <c r="J294" s="3" t="s">
        <v>12</v>
      </c>
      <c r="K294" s="21">
        <f t="shared" ref="K294:K304" si="57">IF(J294=$D294,$E294,0)</f>
        <v>18</v>
      </c>
      <c r="L294" s="3" t="s">
        <v>10</v>
      </c>
      <c r="M294" s="22">
        <f t="shared" ref="M294:M304" si="58">IF(L294=$D294,$E294,0)</f>
        <v>0</v>
      </c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">
      <c r="A295" s="1"/>
      <c r="B295" s="5"/>
      <c r="C295" s="2">
        <v>3</v>
      </c>
      <c r="D295" s="4" t="s">
        <v>10</v>
      </c>
      <c r="E295" s="21">
        <v>15</v>
      </c>
      <c r="F295" s="3" t="s">
        <v>9</v>
      </c>
      <c r="G295" s="21">
        <f t="shared" si="55"/>
        <v>0</v>
      </c>
      <c r="H295" s="3" t="s">
        <v>12</v>
      </c>
      <c r="I295" s="21">
        <f t="shared" si="56"/>
        <v>0</v>
      </c>
      <c r="J295" s="3" t="s">
        <v>10</v>
      </c>
      <c r="K295" s="21">
        <f t="shared" si="57"/>
        <v>15</v>
      </c>
      <c r="L295" s="3" t="s">
        <v>12</v>
      </c>
      <c r="M295" s="22">
        <f t="shared" si="58"/>
        <v>0</v>
      </c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">
      <c r="A296" s="1"/>
      <c r="B296" s="5"/>
      <c r="C296" s="2">
        <v>4</v>
      </c>
      <c r="D296" s="4" t="s">
        <v>14</v>
      </c>
      <c r="E296" s="21">
        <v>12</v>
      </c>
      <c r="F296" s="3" t="s">
        <v>12</v>
      </c>
      <c r="G296" s="21">
        <f t="shared" si="55"/>
        <v>0</v>
      </c>
      <c r="H296" s="3" t="s">
        <v>9</v>
      </c>
      <c r="I296" s="21">
        <f t="shared" si="56"/>
        <v>0</v>
      </c>
      <c r="J296" s="3" t="s">
        <v>9</v>
      </c>
      <c r="K296" s="21">
        <f t="shared" si="57"/>
        <v>0</v>
      </c>
      <c r="L296" s="3" t="s">
        <v>9</v>
      </c>
      <c r="M296" s="22">
        <f t="shared" si="58"/>
        <v>0</v>
      </c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">
      <c r="A297" s="1"/>
      <c r="B297" s="5"/>
      <c r="C297" s="2">
        <v>5</v>
      </c>
      <c r="D297" s="4" t="s">
        <v>22</v>
      </c>
      <c r="E297" s="21">
        <v>10</v>
      </c>
      <c r="F297" s="3" t="s">
        <v>8</v>
      </c>
      <c r="G297" s="21">
        <f t="shared" si="55"/>
        <v>0</v>
      </c>
      <c r="H297" s="3" t="s">
        <v>14</v>
      </c>
      <c r="I297" s="21">
        <f t="shared" si="56"/>
        <v>0</v>
      </c>
      <c r="J297" s="3" t="s">
        <v>8</v>
      </c>
      <c r="K297" s="21">
        <f t="shared" si="57"/>
        <v>0</v>
      </c>
      <c r="L297" s="3" t="s">
        <v>8</v>
      </c>
      <c r="M297" s="22">
        <f t="shared" si="58"/>
        <v>0</v>
      </c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">
      <c r="A298" s="1"/>
      <c r="B298" s="5"/>
      <c r="C298" s="2">
        <v>6</v>
      </c>
      <c r="D298" s="4" t="s">
        <v>59</v>
      </c>
      <c r="E298" s="21">
        <v>8</v>
      </c>
      <c r="F298" s="3" t="s">
        <v>14</v>
      </c>
      <c r="G298" s="21">
        <f t="shared" si="55"/>
        <v>0</v>
      </c>
      <c r="H298" s="3" t="s">
        <v>8</v>
      </c>
      <c r="I298" s="21">
        <f t="shared" si="56"/>
        <v>0</v>
      </c>
      <c r="J298" s="3" t="s">
        <v>14</v>
      </c>
      <c r="K298" s="21">
        <f t="shared" si="57"/>
        <v>0</v>
      </c>
      <c r="L298" s="3" t="s">
        <v>14</v>
      </c>
      <c r="M298" s="22">
        <f t="shared" si="58"/>
        <v>0</v>
      </c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">
      <c r="A299" s="1"/>
      <c r="B299" s="5"/>
      <c r="C299" s="2">
        <v>7</v>
      </c>
      <c r="D299" s="4" t="s">
        <v>65</v>
      </c>
      <c r="E299" s="21">
        <v>6</v>
      </c>
      <c r="F299" s="3" t="s">
        <v>22</v>
      </c>
      <c r="G299" s="21">
        <f t="shared" si="55"/>
        <v>0</v>
      </c>
      <c r="H299" s="3" t="s">
        <v>18</v>
      </c>
      <c r="I299" s="21">
        <f t="shared" si="56"/>
        <v>0</v>
      </c>
      <c r="J299" s="3" t="s">
        <v>18</v>
      </c>
      <c r="K299" s="21">
        <f t="shared" si="57"/>
        <v>0</v>
      </c>
      <c r="L299" s="3" t="s">
        <v>22</v>
      </c>
      <c r="M299" s="22">
        <f t="shared" si="58"/>
        <v>0</v>
      </c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">
      <c r="A300" s="1"/>
      <c r="B300" s="5"/>
      <c r="C300" s="2">
        <v>8</v>
      </c>
      <c r="D300" s="4" t="s">
        <v>73</v>
      </c>
      <c r="E300" s="21">
        <v>4</v>
      </c>
      <c r="F300" s="3" t="s">
        <v>18</v>
      </c>
      <c r="G300" s="21">
        <f t="shared" si="55"/>
        <v>0</v>
      </c>
      <c r="H300" s="3" t="s">
        <v>22</v>
      </c>
      <c r="I300" s="21">
        <f t="shared" si="56"/>
        <v>0</v>
      </c>
      <c r="J300" s="3" t="s">
        <v>22</v>
      </c>
      <c r="K300" s="21">
        <f t="shared" si="57"/>
        <v>0</v>
      </c>
      <c r="L300" s="3" t="s">
        <v>18</v>
      </c>
      <c r="M300" s="22">
        <f t="shared" si="58"/>
        <v>0</v>
      </c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">
      <c r="A301" s="1"/>
      <c r="B301" s="5"/>
      <c r="C301" s="2">
        <v>9</v>
      </c>
      <c r="D301" s="4" t="s">
        <v>64</v>
      </c>
      <c r="E301" s="21">
        <v>2</v>
      </c>
      <c r="F301" s="3" t="s">
        <v>59</v>
      </c>
      <c r="G301" s="21">
        <f t="shared" si="55"/>
        <v>0</v>
      </c>
      <c r="H301" s="3" t="s">
        <v>59</v>
      </c>
      <c r="I301" s="21">
        <f t="shared" si="56"/>
        <v>0</v>
      </c>
      <c r="J301" s="3" t="s">
        <v>59</v>
      </c>
      <c r="K301" s="21">
        <f t="shared" si="57"/>
        <v>0</v>
      </c>
      <c r="L301" s="3" t="s">
        <v>65</v>
      </c>
      <c r="M301" s="22">
        <f t="shared" si="58"/>
        <v>0</v>
      </c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">
      <c r="A302" s="1"/>
      <c r="B302" s="5"/>
      <c r="C302" s="2">
        <v>10</v>
      </c>
      <c r="D302" s="4" t="s">
        <v>56</v>
      </c>
      <c r="E302" s="21">
        <v>1</v>
      </c>
      <c r="F302" s="3" t="s">
        <v>56</v>
      </c>
      <c r="G302" s="21">
        <f t="shared" si="55"/>
        <v>1</v>
      </c>
      <c r="H302" s="3" t="s">
        <v>65</v>
      </c>
      <c r="I302" s="21">
        <f t="shared" si="56"/>
        <v>0</v>
      </c>
      <c r="J302" s="3" t="s">
        <v>56</v>
      </c>
      <c r="K302" s="21">
        <f t="shared" si="57"/>
        <v>1</v>
      </c>
      <c r="L302" s="3" t="s">
        <v>59</v>
      </c>
      <c r="M302" s="22">
        <f t="shared" si="58"/>
        <v>0</v>
      </c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">
      <c r="A303" s="1"/>
      <c r="B303" s="19"/>
      <c r="C303" s="2" t="s">
        <v>4</v>
      </c>
      <c r="D303" s="4" t="s">
        <v>21</v>
      </c>
      <c r="E303" s="21">
        <v>1</v>
      </c>
      <c r="F303" s="3" t="s">
        <v>21</v>
      </c>
      <c r="G303" s="21">
        <f t="shared" si="55"/>
        <v>1</v>
      </c>
      <c r="H303" s="3" t="s">
        <v>21</v>
      </c>
      <c r="I303" s="21">
        <f t="shared" si="56"/>
        <v>1</v>
      </c>
      <c r="J303" s="3" t="s">
        <v>21</v>
      </c>
      <c r="K303" s="21">
        <f t="shared" si="57"/>
        <v>1</v>
      </c>
      <c r="L303" s="3" t="s">
        <v>21</v>
      </c>
      <c r="M303" s="22">
        <f t="shared" si="58"/>
        <v>1</v>
      </c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">
      <c r="A304" s="1"/>
      <c r="B304" s="19"/>
      <c r="C304" s="2" t="s">
        <v>19</v>
      </c>
      <c r="D304" s="4"/>
      <c r="E304" s="21">
        <v>10</v>
      </c>
      <c r="F304" s="3" t="s">
        <v>65</v>
      </c>
      <c r="G304" s="21">
        <f>IF(F304=$D304,$E304,0)</f>
        <v>0</v>
      </c>
      <c r="H304" s="3" t="s">
        <v>62</v>
      </c>
      <c r="I304" s="21">
        <f t="shared" si="56"/>
        <v>0</v>
      </c>
      <c r="J304" s="3" t="s">
        <v>62</v>
      </c>
      <c r="K304" s="21">
        <f t="shared" si="57"/>
        <v>0</v>
      </c>
      <c r="L304" s="3" t="s">
        <v>62</v>
      </c>
      <c r="M304" s="22">
        <f t="shared" si="58"/>
        <v>0</v>
      </c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">
      <c r="A305" s="1"/>
      <c r="B305" s="15"/>
      <c r="C305" s="16"/>
      <c r="D305" s="17"/>
      <c r="E305" s="20"/>
      <c r="F305" s="15"/>
      <c r="G305" s="20"/>
      <c r="H305" s="15"/>
      <c r="I305" s="20"/>
      <c r="J305" s="15"/>
      <c r="K305" s="20"/>
      <c r="L305" s="18"/>
      <c r="M305" s="20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">
      <c r="A306" s="1"/>
      <c r="B306" s="39"/>
      <c r="C306" s="40"/>
      <c r="D306" s="40" t="s">
        <v>16</v>
      </c>
      <c r="E306" s="41"/>
      <c r="F306" s="42"/>
      <c r="G306" s="41">
        <f>SUM(G293:G304)</f>
        <v>2</v>
      </c>
      <c r="H306" s="42"/>
      <c r="I306" s="41">
        <f>SUM(I293:I304)</f>
        <v>1</v>
      </c>
      <c r="J306" s="42"/>
      <c r="K306" s="41">
        <f>SUM(K293:K304)</f>
        <v>35</v>
      </c>
      <c r="L306" s="43"/>
      <c r="M306" s="41">
        <f>SUM(M293:M304)</f>
        <v>1</v>
      </c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">
      <c r="A307" s="1"/>
      <c r="B307" s="39"/>
      <c r="C307" s="40"/>
      <c r="D307" s="40" t="s">
        <v>5</v>
      </c>
      <c r="E307" s="41"/>
      <c r="F307" s="42"/>
      <c r="G307" s="41">
        <f>G306+G287</f>
        <v>171</v>
      </c>
      <c r="H307" s="42"/>
      <c r="I307" s="41">
        <f>I306+I287</f>
        <v>206</v>
      </c>
      <c r="J307" s="42"/>
      <c r="K307" s="41">
        <f>K306+K287</f>
        <v>214</v>
      </c>
      <c r="L307" s="43"/>
      <c r="M307" s="41">
        <f>M306+M287</f>
        <v>271</v>
      </c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24" x14ac:dyDescent="0.3">
      <c r="A309" s="1"/>
      <c r="B309" s="53" t="s">
        <v>41</v>
      </c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9" x14ac:dyDescent="0.25">
      <c r="A310" s="1"/>
      <c r="B310" s="34"/>
      <c r="C310" s="35"/>
      <c r="D310" s="35"/>
      <c r="E310" s="36"/>
      <c r="F310" s="51" t="s">
        <v>0</v>
      </c>
      <c r="G310" s="52"/>
      <c r="H310" s="51" t="s">
        <v>1</v>
      </c>
      <c r="I310" s="52"/>
      <c r="J310" s="51" t="s">
        <v>2</v>
      </c>
      <c r="K310" s="52"/>
      <c r="L310" s="51" t="s">
        <v>3</v>
      </c>
      <c r="M310" s="52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9" x14ac:dyDescent="0.25">
      <c r="A311" s="1"/>
      <c r="B311" s="49" t="s">
        <v>7</v>
      </c>
      <c r="C311" s="50"/>
      <c r="D311" s="50"/>
      <c r="E311" s="37" t="s">
        <v>6</v>
      </c>
      <c r="F311" s="38" t="s">
        <v>7</v>
      </c>
      <c r="G311" s="37" t="s">
        <v>6</v>
      </c>
      <c r="H311" s="38" t="s">
        <v>7</v>
      </c>
      <c r="I311" s="37" t="s">
        <v>6</v>
      </c>
      <c r="J311" s="38" t="s">
        <v>7</v>
      </c>
      <c r="K311" s="37" t="s">
        <v>6</v>
      </c>
      <c r="L311" s="38" t="s">
        <v>7</v>
      </c>
      <c r="M311" s="37" t="s">
        <v>6</v>
      </c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">
      <c r="A312" s="1"/>
      <c r="B312" s="9"/>
      <c r="C312" s="10"/>
      <c r="D312" s="11"/>
      <c r="E312" s="12"/>
      <c r="F312" s="13"/>
      <c r="G312" s="12"/>
      <c r="H312" s="13"/>
      <c r="I312" s="12"/>
      <c r="J312" s="13"/>
      <c r="K312" s="12"/>
      <c r="L312" s="14"/>
      <c r="M312" s="12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">
      <c r="A313" s="1"/>
      <c r="B313" s="5"/>
      <c r="C313" s="2">
        <v>1</v>
      </c>
      <c r="D313" s="4" t="s">
        <v>21</v>
      </c>
      <c r="E313" s="21">
        <v>25</v>
      </c>
      <c r="F313" s="3" t="s">
        <v>21</v>
      </c>
      <c r="G313" s="21">
        <f>IF(F313=$D313,$E313,0)</f>
        <v>25</v>
      </c>
      <c r="H313" s="3" t="s">
        <v>21</v>
      </c>
      <c r="I313" s="21">
        <f>IF(H313=$D313,$E313,0)</f>
        <v>25</v>
      </c>
      <c r="J313" s="3" t="s">
        <v>21</v>
      </c>
      <c r="K313" s="21">
        <f>IF(J313=$D313,$E313,0)</f>
        <v>25</v>
      </c>
      <c r="L313" s="3" t="s">
        <v>21</v>
      </c>
      <c r="M313" s="22">
        <f>IF(L313=$D313,$E313,0)</f>
        <v>25</v>
      </c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">
      <c r="A314" s="1"/>
      <c r="B314" s="5"/>
      <c r="C314" s="2">
        <v>2</v>
      </c>
      <c r="D314" s="4" t="s">
        <v>9</v>
      </c>
      <c r="E314" s="21">
        <v>18</v>
      </c>
      <c r="F314" s="3" t="s">
        <v>12</v>
      </c>
      <c r="G314" s="21">
        <f t="shared" ref="G314:G324" si="59">IF(F314=$D314,$E314,0)</f>
        <v>0</v>
      </c>
      <c r="H314" s="3" t="s">
        <v>12</v>
      </c>
      <c r="I314" s="21">
        <f t="shared" ref="I314:I323" si="60">IF(H314=$D314,$E314,0)</f>
        <v>0</v>
      </c>
      <c r="J314" s="3" t="s">
        <v>12</v>
      </c>
      <c r="K314" s="21">
        <f t="shared" ref="K314:K323" si="61">IF(J314=$D314,$E314,0)</f>
        <v>0</v>
      </c>
      <c r="L314" s="3" t="s">
        <v>12</v>
      </c>
      <c r="M314" s="22">
        <f t="shared" ref="M314:M323" si="62">IF(L314=$D314,$E314,0)</f>
        <v>0</v>
      </c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">
      <c r="A315" s="1"/>
      <c r="B315" s="5"/>
      <c r="C315" s="2">
        <v>3</v>
      </c>
      <c r="D315" s="4" t="s">
        <v>8</v>
      </c>
      <c r="E315" s="21">
        <v>15</v>
      </c>
      <c r="F315" s="3" t="s">
        <v>9</v>
      </c>
      <c r="G315" s="21">
        <f t="shared" si="59"/>
        <v>0</v>
      </c>
      <c r="H315" s="3" t="s">
        <v>8</v>
      </c>
      <c r="I315" s="21">
        <f t="shared" si="60"/>
        <v>15</v>
      </c>
      <c r="J315" s="3" t="s">
        <v>8</v>
      </c>
      <c r="K315" s="21">
        <f t="shared" si="61"/>
        <v>15</v>
      </c>
      <c r="L315" s="3" t="s">
        <v>9</v>
      </c>
      <c r="M315" s="22">
        <f t="shared" si="62"/>
        <v>0</v>
      </c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">
      <c r="A316" s="1"/>
      <c r="B316" s="5"/>
      <c r="C316" s="2">
        <v>4</v>
      </c>
      <c r="D316" s="4" t="s">
        <v>10</v>
      </c>
      <c r="E316" s="21">
        <v>12</v>
      </c>
      <c r="F316" s="3" t="s">
        <v>10</v>
      </c>
      <c r="G316" s="21">
        <f t="shared" si="59"/>
        <v>12</v>
      </c>
      <c r="H316" s="3" t="s">
        <v>9</v>
      </c>
      <c r="I316" s="21">
        <f t="shared" si="60"/>
        <v>0</v>
      </c>
      <c r="J316" s="3" t="s">
        <v>9</v>
      </c>
      <c r="K316" s="21">
        <f t="shared" si="61"/>
        <v>0</v>
      </c>
      <c r="L316" s="3" t="s">
        <v>8</v>
      </c>
      <c r="M316" s="22">
        <f t="shared" si="62"/>
        <v>0</v>
      </c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">
      <c r="A317" s="1"/>
      <c r="B317" s="5"/>
      <c r="C317" s="2">
        <v>5</v>
      </c>
      <c r="D317" s="4" t="s">
        <v>18</v>
      </c>
      <c r="E317" s="21">
        <v>10</v>
      </c>
      <c r="F317" s="3" t="s">
        <v>8</v>
      </c>
      <c r="G317" s="21">
        <f t="shared" si="59"/>
        <v>0</v>
      </c>
      <c r="H317" s="3" t="s">
        <v>10</v>
      </c>
      <c r="I317" s="21">
        <f t="shared" si="60"/>
        <v>0</v>
      </c>
      <c r="J317" s="3" t="s">
        <v>10</v>
      </c>
      <c r="K317" s="21">
        <f t="shared" si="61"/>
        <v>0</v>
      </c>
      <c r="L317" s="3" t="s">
        <v>10</v>
      </c>
      <c r="M317" s="22">
        <f t="shared" si="62"/>
        <v>0</v>
      </c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">
      <c r="A318" s="1"/>
      <c r="B318" s="5"/>
      <c r="C318" s="2">
        <v>6</v>
      </c>
      <c r="D318" s="4" t="s">
        <v>22</v>
      </c>
      <c r="E318" s="21">
        <v>8</v>
      </c>
      <c r="F318" s="3" t="s">
        <v>18</v>
      </c>
      <c r="G318" s="21">
        <f t="shared" si="59"/>
        <v>0</v>
      </c>
      <c r="H318" s="3" t="s">
        <v>18</v>
      </c>
      <c r="I318" s="21">
        <f t="shared" si="60"/>
        <v>0</v>
      </c>
      <c r="J318" s="3" t="s">
        <v>18</v>
      </c>
      <c r="K318" s="21">
        <f t="shared" si="61"/>
        <v>0</v>
      </c>
      <c r="L318" s="3" t="s">
        <v>18</v>
      </c>
      <c r="M318" s="22">
        <f t="shared" si="62"/>
        <v>0</v>
      </c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">
      <c r="A319" s="1"/>
      <c r="B319" s="5"/>
      <c r="C319" s="2">
        <v>7</v>
      </c>
      <c r="D319" s="4" t="s">
        <v>14</v>
      </c>
      <c r="E319" s="21">
        <v>6</v>
      </c>
      <c r="F319" s="3" t="s">
        <v>14</v>
      </c>
      <c r="G319" s="21">
        <f t="shared" si="59"/>
        <v>6</v>
      </c>
      <c r="H319" s="3" t="s">
        <v>14</v>
      </c>
      <c r="I319" s="21">
        <f t="shared" si="60"/>
        <v>6</v>
      </c>
      <c r="J319" s="3" t="s">
        <v>14</v>
      </c>
      <c r="K319" s="21">
        <f t="shared" si="61"/>
        <v>6</v>
      </c>
      <c r="L319" s="3" t="s">
        <v>14</v>
      </c>
      <c r="M319" s="22">
        <f t="shared" si="62"/>
        <v>6</v>
      </c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">
      <c r="A320" s="1"/>
      <c r="B320" s="5"/>
      <c r="C320" s="2">
        <v>8</v>
      </c>
      <c r="D320" s="4" t="s">
        <v>73</v>
      </c>
      <c r="E320" s="21">
        <v>4</v>
      </c>
      <c r="F320" s="3" t="s">
        <v>65</v>
      </c>
      <c r="G320" s="21">
        <f t="shared" si="59"/>
        <v>0</v>
      </c>
      <c r="H320" s="3" t="s">
        <v>65</v>
      </c>
      <c r="I320" s="21">
        <f t="shared" si="60"/>
        <v>0</v>
      </c>
      <c r="J320" s="3" t="s">
        <v>59</v>
      </c>
      <c r="K320" s="21">
        <f t="shared" si="61"/>
        <v>0</v>
      </c>
      <c r="L320" s="3" t="s">
        <v>59</v>
      </c>
      <c r="M320" s="22">
        <f t="shared" si="62"/>
        <v>0</v>
      </c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">
      <c r="A321" s="1"/>
      <c r="B321" s="5"/>
      <c r="C321" s="2">
        <v>9</v>
      </c>
      <c r="D321" s="4" t="s">
        <v>65</v>
      </c>
      <c r="E321" s="21">
        <v>2</v>
      </c>
      <c r="F321" s="3" t="s">
        <v>73</v>
      </c>
      <c r="G321" s="21">
        <f t="shared" si="59"/>
        <v>0</v>
      </c>
      <c r="H321" s="3" t="s">
        <v>73</v>
      </c>
      <c r="I321" s="21">
        <f t="shared" si="60"/>
        <v>0</v>
      </c>
      <c r="J321" s="3" t="s">
        <v>56</v>
      </c>
      <c r="K321" s="21">
        <f t="shared" si="61"/>
        <v>0</v>
      </c>
      <c r="L321" s="3" t="s">
        <v>64</v>
      </c>
      <c r="M321" s="22">
        <f t="shared" si="62"/>
        <v>0</v>
      </c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">
      <c r="A322" s="1"/>
      <c r="B322" s="5"/>
      <c r="C322" s="2">
        <v>10</v>
      </c>
      <c r="D322" s="4" t="s">
        <v>64</v>
      </c>
      <c r="E322" s="21">
        <v>1</v>
      </c>
      <c r="F322" s="3" t="s">
        <v>56</v>
      </c>
      <c r="G322" s="21">
        <f t="shared" si="59"/>
        <v>0</v>
      </c>
      <c r="H322" s="3" t="s">
        <v>56</v>
      </c>
      <c r="I322" s="21">
        <f t="shared" si="60"/>
        <v>0</v>
      </c>
      <c r="J322" s="3" t="s">
        <v>65</v>
      </c>
      <c r="K322" s="21">
        <f t="shared" si="61"/>
        <v>0</v>
      </c>
      <c r="L322" s="6" t="s">
        <v>56</v>
      </c>
      <c r="M322" s="22">
        <f t="shared" si="62"/>
        <v>0</v>
      </c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">
      <c r="A323" s="1"/>
      <c r="B323" s="19"/>
      <c r="C323" s="2" t="s">
        <v>4</v>
      </c>
      <c r="D323" s="4" t="s">
        <v>14</v>
      </c>
      <c r="E323" s="21">
        <v>1</v>
      </c>
      <c r="F323" s="3" t="s">
        <v>21</v>
      </c>
      <c r="G323" s="21">
        <f t="shared" si="59"/>
        <v>0</v>
      </c>
      <c r="H323" s="3" t="s">
        <v>21</v>
      </c>
      <c r="I323" s="21">
        <f t="shared" si="60"/>
        <v>0</v>
      </c>
      <c r="J323" s="3" t="s">
        <v>21</v>
      </c>
      <c r="K323" s="21">
        <f t="shared" si="61"/>
        <v>0</v>
      </c>
      <c r="L323" s="3" t="s">
        <v>21</v>
      </c>
      <c r="M323" s="22">
        <f t="shared" si="62"/>
        <v>0</v>
      </c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">
      <c r="A324" s="1"/>
      <c r="B324" s="19"/>
      <c r="C324" s="2" t="s">
        <v>19</v>
      </c>
      <c r="D324" s="4"/>
      <c r="E324" s="21">
        <v>10</v>
      </c>
      <c r="F324" s="3" t="s">
        <v>59</v>
      </c>
      <c r="G324" s="21">
        <f t="shared" si="59"/>
        <v>0</v>
      </c>
      <c r="H324" s="3" t="s">
        <v>63</v>
      </c>
      <c r="I324" s="21">
        <f>IF(H324=$D324,$E324,0)+10</f>
        <v>10</v>
      </c>
      <c r="J324" s="3" t="s">
        <v>62</v>
      </c>
      <c r="K324" s="21">
        <f>IF(J324=$D324,$E324,0)+10</f>
        <v>10</v>
      </c>
      <c r="L324" s="3" t="s">
        <v>62</v>
      </c>
      <c r="M324" s="22">
        <f>IF(L324=$D324,$E324,0)+10</f>
        <v>10</v>
      </c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">
      <c r="A325" s="1"/>
      <c r="B325" s="15"/>
      <c r="C325" s="16"/>
      <c r="D325" s="17"/>
      <c r="E325" s="20"/>
      <c r="F325" s="15"/>
      <c r="G325" s="20"/>
      <c r="H325" s="15"/>
      <c r="I325" s="20"/>
      <c r="J325" s="15"/>
      <c r="K325" s="20"/>
      <c r="L325" s="18"/>
      <c r="M325" s="20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">
      <c r="A326" s="1"/>
      <c r="B326" s="39"/>
      <c r="C326" s="40"/>
      <c r="D326" s="40" t="s">
        <v>16</v>
      </c>
      <c r="E326" s="41"/>
      <c r="F326" s="42"/>
      <c r="G326" s="41">
        <f>SUM(G313:G324)</f>
        <v>43</v>
      </c>
      <c r="H326" s="42"/>
      <c r="I326" s="41">
        <f>SUM(I313:I324)</f>
        <v>56</v>
      </c>
      <c r="J326" s="42"/>
      <c r="K326" s="41">
        <f>SUM(K313:K324)</f>
        <v>56</v>
      </c>
      <c r="L326" s="43"/>
      <c r="M326" s="41">
        <f>SUM(M313:M324)</f>
        <v>41</v>
      </c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">
      <c r="A327" s="1"/>
      <c r="B327" s="39"/>
      <c r="C327" s="40"/>
      <c r="D327" s="40" t="s">
        <v>5</v>
      </c>
      <c r="E327" s="41"/>
      <c r="F327" s="42"/>
      <c r="G327" s="41">
        <f>G326+G307</f>
        <v>214</v>
      </c>
      <c r="H327" s="42"/>
      <c r="I327" s="41">
        <f>I326+I307</f>
        <v>262</v>
      </c>
      <c r="J327" s="42"/>
      <c r="K327" s="41">
        <f>K326+K307</f>
        <v>270</v>
      </c>
      <c r="L327" s="43"/>
      <c r="M327" s="41">
        <f>M326+M307</f>
        <v>312</v>
      </c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24" x14ac:dyDescent="0.3">
      <c r="A329" s="1"/>
      <c r="B329" s="53" t="s">
        <v>42</v>
      </c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9" x14ac:dyDescent="0.25">
      <c r="A330" s="1"/>
      <c r="B330" s="34"/>
      <c r="C330" s="35"/>
      <c r="D330" s="35"/>
      <c r="E330" s="36"/>
      <c r="F330" s="51" t="s">
        <v>0</v>
      </c>
      <c r="G330" s="52"/>
      <c r="H330" s="51" t="s">
        <v>1</v>
      </c>
      <c r="I330" s="52"/>
      <c r="J330" s="51" t="s">
        <v>2</v>
      </c>
      <c r="K330" s="52"/>
      <c r="L330" s="51" t="s">
        <v>3</v>
      </c>
      <c r="M330" s="52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9" x14ac:dyDescent="0.25">
      <c r="A331" s="1"/>
      <c r="B331" s="49" t="s">
        <v>7</v>
      </c>
      <c r="C331" s="50"/>
      <c r="D331" s="50"/>
      <c r="E331" s="37" t="s">
        <v>6</v>
      </c>
      <c r="F331" s="38" t="s">
        <v>7</v>
      </c>
      <c r="G331" s="37" t="s">
        <v>6</v>
      </c>
      <c r="H331" s="38" t="s">
        <v>7</v>
      </c>
      <c r="I331" s="37" t="s">
        <v>6</v>
      </c>
      <c r="J331" s="38" t="s">
        <v>7</v>
      </c>
      <c r="K331" s="37" t="s">
        <v>6</v>
      </c>
      <c r="L331" s="38" t="s">
        <v>7</v>
      </c>
      <c r="M331" s="37" t="s">
        <v>6</v>
      </c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">
      <c r="A332" s="1"/>
      <c r="B332" s="9"/>
      <c r="C332" s="10"/>
      <c r="D332" s="11"/>
      <c r="E332" s="12"/>
      <c r="F332" s="13"/>
      <c r="G332" s="12"/>
      <c r="H332" s="13"/>
      <c r="I332" s="12"/>
      <c r="J332" s="13"/>
      <c r="K332" s="12"/>
      <c r="L332" s="14"/>
      <c r="M332" s="12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">
      <c r="A333" s="1"/>
      <c r="B333" s="5"/>
      <c r="C333" s="2">
        <v>1</v>
      </c>
      <c r="D333" s="4" t="s">
        <v>14</v>
      </c>
      <c r="E333" s="21">
        <v>25</v>
      </c>
      <c r="F333" s="3" t="s">
        <v>14</v>
      </c>
      <c r="G333" s="21">
        <f>IF(F333=$D333,$E333,0)</f>
        <v>25</v>
      </c>
      <c r="H333" s="3" t="s">
        <v>14</v>
      </c>
      <c r="I333" s="21">
        <f>IF(H333=$D333,$E333,0)</f>
        <v>25</v>
      </c>
      <c r="J333" s="3" t="s">
        <v>14</v>
      </c>
      <c r="K333" s="21">
        <f>IF(J333=$D333,$E333,0)</f>
        <v>25</v>
      </c>
      <c r="L333" s="3" t="s">
        <v>14</v>
      </c>
      <c r="M333" s="22">
        <f>IF(L333=$D333,$E333,0)</f>
        <v>25</v>
      </c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">
      <c r="A334" s="1"/>
      <c r="B334" s="5"/>
      <c r="C334" s="2">
        <v>2</v>
      </c>
      <c r="D334" s="4" t="s">
        <v>8</v>
      </c>
      <c r="E334" s="21">
        <v>18</v>
      </c>
      <c r="F334" s="3" t="s">
        <v>18</v>
      </c>
      <c r="G334" s="21">
        <f t="shared" ref="G334:G344" si="63">IF(F334=$D334,$E334,0)</f>
        <v>0</v>
      </c>
      <c r="H334" s="3" t="s">
        <v>8</v>
      </c>
      <c r="I334" s="21">
        <f t="shared" ref="I334:I344" si="64">IF(H334=$D334,$E334,0)</f>
        <v>18</v>
      </c>
      <c r="J334" s="3" t="s">
        <v>18</v>
      </c>
      <c r="K334" s="21">
        <f t="shared" ref="K334:K344" si="65">IF(J334=$D334,$E334,0)</f>
        <v>0</v>
      </c>
      <c r="L334" s="3" t="s">
        <v>9</v>
      </c>
      <c r="M334" s="22">
        <f t="shared" ref="M334:M344" si="66">IF(L334=$D334,$E334,0)</f>
        <v>0</v>
      </c>
      <c r="N334" s="1"/>
      <c r="O334" s="1"/>
      <c r="P334" s="1"/>
      <c r="Q334" s="1"/>
      <c r="R334" s="1"/>
      <c r="S334" s="1"/>
      <c r="T334" s="1"/>
    </row>
    <row r="335" spans="1:22" x14ac:dyDescent="0.2">
      <c r="A335" s="1"/>
      <c r="B335" s="5"/>
      <c r="C335" s="2">
        <v>3</v>
      </c>
      <c r="D335" s="4" t="s">
        <v>21</v>
      </c>
      <c r="E335" s="21">
        <v>15</v>
      </c>
      <c r="F335" s="3" t="s">
        <v>9</v>
      </c>
      <c r="G335" s="21">
        <f t="shared" si="63"/>
        <v>0</v>
      </c>
      <c r="H335" s="3" t="s">
        <v>9</v>
      </c>
      <c r="I335" s="21">
        <f t="shared" si="64"/>
        <v>0</v>
      </c>
      <c r="J335" s="3" t="s">
        <v>9</v>
      </c>
      <c r="K335" s="21">
        <f t="shared" si="65"/>
        <v>0</v>
      </c>
      <c r="L335" s="3" t="s">
        <v>10</v>
      </c>
      <c r="M335" s="22">
        <f t="shared" si="66"/>
        <v>0</v>
      </c>
      <c r="N335" s="1"/>
      <c r="O335" s="1"/>
      <c r="P335" s="1"/>
      <c r="Q335" s="1"/>
      <c r="R335" s="1"/>
      <c r="S335" s="1"/>
      <c r="T335" s="1"/>
    </row>
    <row r="336" spans="1:22" x14ac:dyDescent="0.2">
      <c r="A336" s="1"/>
      <c r="B336" s="5"/>
      <c r="C336" s="2">
        <v>4</v>
      </c>
      <c r="D336" s="4" t="s">
        <v>9</v>
      </c>
      <c r="E336" s="21">
        <v>12</v>
      </c>
      <c r="F336" s="3" t="s">
        <v>21</v>
      </c>
      <c r="G336" s="21">
        <f t="shared" si="63"/>
        <v>0</v>
      </c>
      <c r="H336" s="3" t="s">
        <v>18</v>
      </c>
      <c r="I336" s="21">
        <f t="shared" si="64"/>
        <v>0</v>
      </c>
      <c r="J336" s="3" t="s">
        <v>10</v>
      </c>
      <c r="K336" s="21">
        <f t="shared" si="65"/>
        <v>0</v>
      </c>
      <c r="L336" s="3" t="s">
        <v>12</v>
      </c>
      <c r="M336" s="22">
        <f t="shared" si="66"/>
        <v>0</v>
      </c>
      <c r="N336" s="1"/>
      <c r="O336" s="1"/>
      <c r="P336" s="1"/>
      <c r="Q336" s="1"/>
      <c r="R336" s="1"/>
      <c r="S336" s="1"/>
      <c r="T336" s="1"/>
    </row>
    <row r="337" spans="1:20" x14ac:dyDescent="0.2">
      <c r="A337" s="1"/>
      <c r="B337" s="5"/>
      <c r="C337" s="2">
        <v>5</v>
      </c>
      <c r="D337" s="4" t="s">
        <v>10</v>
      </c>
      <c r="E337" s="21">
        <v>10</v>
      </c>
      <c r="F337" s="3" t="s">
        <v>10</v>
      </c>
      <c r="G337" s="21">
        <f t="shared" si="63"/>
        <v>10</v>
      </c>
      <c r="H337" s="3" t="s">
        <v>10</v>
      </c>
      <c r="I337" s="21">
        <f t="shared" si="64"/>
        <v>10</v>
      </c>
      <c r="J337" s="3" t="s">
        <v>12</v>
      </c>
      <c r="K337" s="21">
        <f t="shared" si="65"/>
        <v>0</v>
      </c>
      <c r="L337" s="3" t="s">
        <v>21</v>
      </c>
      <c r="M337" s="22">
        <f t="shared" si="66"/>
        <v>0</v>
      </c>
      <c r="N337" s="1"/>
      <c r="O337" s="1"/>
      <c r="P337" s="1"/>
      <c r="Q337" s="1"/>
      <c r="R337" s="1"/>
      <c r="S337" s="1"/>
      <c r="T337" s="1"/>
    </row>
    <row r="338" spans="1:20" x14ac:dyDescent="0.2">
      <c r="A338" s="1"/>
      <c r="B338" s="5"/>
      <c r="C338" s="2">
        <v>6</v>
      </c>
      <c r="D338" s="4" t="s">
        <v>22</v>
      </c>
      <c r="E338" s="21">
        <v>8</v>
      </c>
      <c r="F338" s="3" t="s">
        <v>12</v>
      </c>
      <c r="G338" s="21">
        <f t="shared" si="63"/>
        <v>0</v>
      </c>
      <c r="H338" s="3" t="s">
        <v>21</v>
      </c>
      <c r="I338" s="21">
        <f t="shared" si="64"/>
        <v>0</v>
      </c>
      <c r="J338" s="3" t="s">
        <v>21</v>
      </c>
      <c r="K338" s="21">
        <f t="shared" si="65"/>
        <v>0</v>
      </c>
      <c r="L338" s="3" t="s">
        <v>18</v>
      </c>
      <c r="M338" s="22">
        <f t="shared" si="66"/>
        <v>0</v>
      </c>
      <c r="N338" s="1"/>
      <c r="O338" s="1"/>
      <c r="P338" s="1"/>
      <c r="Q338" s="1"/>
      <c r="R338" s="1"/>
      <c r="S338" s="1"/>
      <c r="T338" s="1"/>
    </row>
    <row r="339" spans="1:20" x14ac:dyDescent="0.2">
      <c r="A339" s="1"/>
      <c r="B339" s="5"/>
      <c r="C339" s="2">
        <v>7</v>
      </c>
      <c r="D339" s="4" t="s">
        <v>12</v>
      </c>
      <c r="E339" s="21">
        <v>6</v>
      </c>
      <c r="F339" s="3" t="s">
        <v>8</v>
      </c>
      <c r="G339" s="21">
        <f t="shared" si="63"/>
        <v>0</v>
      </c>
      <c r="H339" s="3" t="s">
        <v>12</v>
      </c>
      <c r="I339" s="21">
        <f t="shared" si="64"/>
        <v>6</v>
      </c>
      <c r="J339" s="3" t="s">
        <v>8</v>
      </c>
      <c r="K339" s="21">
        <f t="shared" si="65"/>
        <v>0</v>
      </c>
      <c r="L339" s="3" t="s">
        <v>8</v>
      </c>
      <c r="M339" s="22">
        <f t="shared" si="66"/>
        <v>0</v>
      </c>
      <c r="N339" s="1"/>
      <c r="O339" s="1"/>
      <c r="P339" s="1"/>
      <c r="Q339" s="1"/>
      <c r="R339" s="1"/>
      <c r="S339" s="1"/>
      <c r="T339" s="1"/>
    </row>
    <row r="340" spans="1:20" x14ac:dyDescent="0.2">
      <c r="A340" s="1"/>
      <c r="B340" s="5"/>
      <c r="C340" s="2">
        <v>8</v>
      </c>
      <c r="D340" s="4" t="s">
        <v>59</v>
      </c>
      <c r="E340" s="21">
        <v>4</v>
      </c>
      <c r="F340" s="3" t="s">
        <v>22</v>
      </c>
      <c r="G340" s="21">
        <f t="shared" si="63"/>
        <v>0</v>
      </c>
      <c r="H340" s="3" t="s">
        <v>72</v>
      </c>
      <c r="I340" s="21">
        <f t="shared" si="64"/>
        <v>0</v>
      </c>
      <c r="J340" s="3" t="s">
        <v>22</v>
      </c>
      <c r="K340" s="21">
        <f t="shared" si="65"/>
        <v>0</v>
      </c>
      <c r="L340" s="3" t="s">
        <v>22</v>
      </c>
      <c r="M340" s="22">
        <f t="shared" si="66"/>
        <v>0</v>
      </c>
      <c r="N340" s="1"/>
      <c r="O340" s="1"/>
      <c r="P340" s="1"/>
      <c r="Q340" s="1"/>
      <c r="R340" s="1"/>
      <c r="S340" s="1"/>
      <c r="T340" s="1"/>
    </row>
    <row r="341" spans="1:20" x14ac:dyDescent="0.2">
      <c r="A341" s="1"/>
      <c r="B341" s="5"/>
      <c r="C341" s="2">
        <v>9</v>
      </c>
      <c r="D341" s="4" t="s">
        <v>17</v>
      </c>
      <c r="E341" s="21">
        <v>2</v>
      </c>
      <c r="F341" s="3" t="s">
        <v>65</v>
      </c>
      <c r="G341" s="21">
        <f t="shared" si="63"/>
        <v>0</v>
      </c>
      <c r="H341" s="3" t="s">
        <v>22</v>
      </c>
      <c r="I341" s="21">
        <f t="shared" si="64"/>
        <v>0</v>
      </c>
      <c r="J341" s="3" t="s">
        <v>72</v>
      </c>
      <c r="K341" s="21">
        <f t="shared" si="65"/>
        <v>0</v>
      </c>
      <c r="L341" s="3" t="s">
        <v>65</v>
      </c>
      <c r="M341" s="22">
        <f t="shared" si="66"/>
        <v>0</v>
      </c>
      <c r="N341" s="1"/>
      <c r="O341" s="1"/>
      <c r="P341" s="1"/>
      <c r="Q341" s="1"/>
      <c r="R341" s="1"/>
      <c r="S341" s="1"/>
      <c r="T341" s="1"/>
    </row>
    <row r="342" spans="1:20" x14ac:dyDescent="0.2">
      <c r="A342" s="1"/>
      <c r="B342" s="5"/>
      <c r="C342" s="2">
        <v>10</v>
      </c>
      <c r="D342" s="4" t="s">
        <v>72</v>
      </c>
      <c r="E342" s="21">
        <v>1</v>
      </c>
      <c r="F342" s="6" t="s">
        <v>59</v>
      </c>
      <c r="G342" s="21">
        <f t="shared" si="63"/>
        <v>0</v>
      </c>
      <c r="H342" s="6" t="s">
        <v>59</v>
      </c>
      <c r="I342" s="21">
        <f t="shared" si="64"/>
        <v>0</v>
      </c>
      <c r="J342" s="3" t="s">
        <v>56</v>
      </c>
      <c r="K342" s="21">
        <f t="shared" si="65"/>
        <v>0</v>
      </c>
      <c r="L342" s="6" t="s">
        <v>59</v>
      </c>
      <c r="M342" s="22">
        <f t="shared" si="66"/>
        <v>0</v>
      </c>
      <c r="N342" s="1"/>
      <c r="O342" s="1"/>
      <c r="P342" s="1"/>
      <c r="Q342" s="1"/>
      <c r="R342" s="1"/>
      <c r="S342" s="1"/>
      <c r="T342" s="1"/>
    </row>
    <row r="343" spans="1:20" x14ac:dyDescent="0.2">
      <c r="A343" s="1"/>
      <c r="B343" s="19"/>
      <c r="C343" s="2" t="s">
        <v>4</v>
      </c>
      <c r="D343" s="4" t="s">
        <v>9</v>
      </c>
      <c r="E343" s="21">
        <v>1</v>
      </c>
      <c r="F343" s="3" t="s">
        <v>14</v>
      </c>
      <c r="G343" s="21">
        <f t="shared" si="63"/>
        <v>0</v>
      </c>
      <c r="H343" s="3" t="s">
        <v>14</v>
      </c>
      <c r="I343" s="21">
        <f t="shared" si="64"/>
        <v>0</v>
      </c>
      <c r="J343" s="3" t="s">
        <v>8</v>
      </c>
      <c r="K343" s="21">
        <f t="shared" si="65"/>
        <v>0</v>
      </c>
      <c r="L343" s="3" t="s">
        <v>14</v>
      </c>
      <c r="M343" s="22">
        <f t="shared" si="66"/>
        <v>0</v>
      </c>
      <c r="N343" s="1"/>
      <c r="O343" s="1"/>
      <c r="P343" s="1"/>
      <c r="Q343" s="1"/>
      <c r="R343" s="1"/>
      <c r="S343" s="1"/>
      <c r="T343" s="1"/>
    </row>
    <row r="344" spans="1:20" x14ac:dyDescent="0.2">
      <c r="A344" s="1"/>
      <c r="B344" s="19"/>
      <c r="C344" s="2" t="s">
        <v>19</v>
      </c>
      <c r="D344" s="4"/>
      <c r="E344" s="21">
        <v>10</v>
      </c>
      <c r="F344" s="3" t="s">
        <v>76</v>
      </c>
      <c r="G344" s="21">
        <f t="shared" si="63"/>
        <v>0</v>
      </c>
      <c r="H344" s="3" t="s">
        <v>61</v>
      </c>
      <c r="I344" s="21">
        <f>IF(H344=$D344,$E344,0)</f>
        <v>0</v>
      </c>
      <c r="J344" s="3" t="s">
        <v>78</v>
      </c>
      <c r="K344" s="21">
        <f>IF(J344=$D344,$E344,0)*0</f>
        <v>0</v>
      </c>
      <c r="L344" s="3" t="s">
        <v>79</v>
      </c>
      <c r="M344" s="22">
        <f t="shared" si="66"/>
        <v>0</v>
      </c>
      <c r="N344" s="1"/>
      <c r="O344" s="1"/>
      <c r="P344" s="1"/>
      <c r="Q344" s="1"/>
      <c r="R344" s="1"/>
      <c r="S344" s="1"/>
      <c r="T344" s="1"/>
    </row>
    <row r="345" spans="1:20" x14ac:dyDescent="0.2">
      <c r="A345" s="1"/>
      <c r="B345" s="15"/>
      <c r="C345" s="16"/>
      <c r="D345" s="17"/>
      <c r="E345" s="20"/>
      <c r="F345" s="15"/>
      <c r="G345" s="20"/>
      <c r="H345" s="15"/>
      <c r="I345" s="20"/>
      <c r="J345" s="15"/>
      <c r="K345" s="20"/>
      <c r="L345" s="18"/>
      <c r="M345" s="20"/>
      <c r="N345" s="1"/>
      <c r="O345" s="1"/>
      <c r="P345" s="1"/>
      <c r="Q345" s="1"/>
      <c r="R345" s="1"/>
      <c r="S345" s="1"/>
      <c r="T345" s="1"/>
    </row>
    <row r="346" spans="1:20" x14ac:dyDescent="0.2">
      <c r="A346" s="1"/>
      <c r="B346" s="39"/>
      <c r="C346" s="40"/>
      <c r="D346" s="40" t="s">
        <v>16</v>
      </c>
      <c r="E346" s="41"/>
      <c r="F346" s="42"/>
      <c r="G346" s="41">
        <f>SUM(G333:G344)</f>
        <v>35</v>
      </c>
      <c r="H346" s="42"/>
      <c r="I346" s="41">
        <f>SUM(I333:I344)</f>
        <v>59</v>
      </c>
      <c r="J346" s="42"/>
      <c r="K346" s="41">
        <f>SUM(K333:K344)</f>
        <v>25</v>
      </c>
      <c r="L346" s="43"/>
      <c r="M346" s="41">
        <f>SUM(M333:M344)</f>
        <v>25</v>
      </c>
      <c r="N346" s="1"/>
      <c r="O346" s="1"/>
      <c r="P346" s="1"/>
      <c r="Q346" s="1"/>
      <c r="R346" s="1"/>
      <c r="S346" s="1"/>
      <c r="T346" s="1"/>
    </row>
    <row r="347" spans="1:20" x14ac:dyDescent="0.2">
      <c r="A347" s="1"/>
      <c r="B347" s="39"/>
      <c r="C347" s="40"/>
      <c r="D347" s="40" t="s">
        <v>5</v>
      </c>
      <c r="E347" s="41"/>
      <c r="F347" s="42"/>
      <c r="G347" s="41">
        <f>G346+G327</f>
        <v>249</v>
      </c>
      <c r="H347" s="42"/>
      <c r="I347" s="41">
        <f>I346+I327</f>
        <v>321</v>
      </c>
      <c r="J347" s="42"/>
      <c r="K347" s="41">
        <f>K346+K327</f>
        <v>295</v>
      </c>
      <c r="L347" s="43"/>
      <c r="M347" s="41">
        <f>M346+M327</f>
        <v>337</v>
      </c>
      <c r="N347" s="1"/>
      <c r="O347" s="1"/>
      <c r="P347" s="1"/>
      <c r="Q347" s="1"/>
      <c r="R347" s="1"/>
      <c r="S347" s="1"/>
      <c r="T347" s="1"/>
    </row>
    <row r="348" spans="1:2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24" x14ac:dyDescent="0.3">
      <c r="A349" s="1"/>
      <c r="B349" s="53" t="s">
        <v>43</v>
      </c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1"/>
      <c r="O349" s="1"/>
      <c r="P349" s="1"/>
      <c r="Q349" s="1"/>
      <c r="R349" s="1"/>
      <c r="S349" s="1"/>
      <c r="T349" s="1"/>
    </row>
    <row r="350" spans="1:20" ht="19" x14ac:dyDescent="0.25">
      <c r="A350" s="1"/>
      <c r="B350" s="34"/>
      <c r="C350" s="35"/>
      <c r="D350" s="35"/>
      <c r="E350" s="36"/>
      <c r="F350" s="51" t="s">
        <v>0</v>
      </c>
      <c r="G350" s="52"/>
      <c r="H350" s="51" t="s">
        <v>1</v>
      </c>
      <c r="I350" s="52"/>
      <c r="J350" s="51" t="s">
        <v>2</v>
      </c>
      <c r="K350" s="52"/>
      <c r="L350" s="51" t="s">
        <v>3</v>
      </c>
      <c r="M350" s="52"/>
      <c r="N350" s="1"/>
      <c r="O350" s="1"/>
      <c r="P350" s="1"/>
      <c r="Q350" s="1"/>
      <c r="R350" s="1"/>
      <c r="S350" s="1"/>
      <c r="T350" s="1"/>
    </row>
    <row r="351" spans="1:20" ht="19" x14ac:dyDescent="0.25">
      <c r="A351" s="1"/>
      <c r="B351" s="49" t="s">
        <v>7</v>
      </c>
      <c r="C351" s="50"/>
      <c r="D351" s="50"/>
      <c r="E351" s="37" t="s">
        <v>6</v>
      </c>
      <c r="F351" s="38" t="s">
        <v>7</v>
      </c>
      <c r="G351" s="37" t="s">
        <v>6</v>
      </c>
      <c r="H351" s="38" t="s">
        <v>7</v>
      </c>
      <c r="I351" s="37" t="s">
        <v>6</v>
      </c>
      <c r="J351" s="38" t="s">
        <v>7</v>
      </c>
      <c r="K351" s="37" t="s">
        <v>6</v>
      </c>
      <c r="L351" s="38" t="s">
        <v>7</v>
      </c>
      <c r="M351" s="37" t="s">
        <v>6</v>
      </c>
      <c r="N351" s="1"/>
      <c r="O351" s="1"/>
      <c r="P351" s="1"/>
      <c r="Q351" s="1"/>
      <c r="R351" s="1"/>
      <c r="S351" s="1"/>
      <c r="T351" s="1"/>
    </row>
    <row r="352" spans="1:20" x14ac:dyDescent="0.2">
      <c r="A352" s="1"/>
      <c r="B352" s="9"/>
      <c r="C352" s="10"/>
      <c r="D352" s="11"/>
      <c r="E352" s="12"/>
      <c r="F352" s="13"/>
      <c r="G352" s="12"/>
      <c r="H352" s="13"/>
      <c r="I352" s="12"/>
      <c r="J352" s="13"/>
      <c r="K352" s="12"/>
      <c r="L352" s="14"/>
      <c r="M352" s="12"/>
      <c r="N352" s="1"/>
      <c r="O352" s="1"/>
      <c r="P352" s="1"/>
      <c r="Q352" s="1"/>
      <c r="R352" s="1"/>
      <c r="S352" s="1"/>
      <c r="T352" s="1"/>
    </row>
    <row r="353" spans="1:20" x14ac:dyDescent="0.2">
      <c r="A353" s="1"/>
      <c r="B353" s="5"/>
      <c r="C353" s="2">
        <v>1</v>
      </c>
      <c r="D353" s="4"/>
      <c r="E353" s="21">
        <v>8</v>
      </c>
      <c r="F353" s="3"/>
      <c r="G353" s="21">
        <f>IF(F353=$D353,$E353,0)</f>
        <v>8</v>
      </c>
      <c r="H353" s="3"/>
      <c r="I353" s="21">
        <f>IF(H353=$D353,$E353,0)</f>
        <v>8</v>
      </c>
      <c r="J353" s="3"/>
      <c r="K353" s="21">
        <f>IF(J353=$D353,$E353,0)</f>
        <v>8</v>
      </c>
      <c r="L353" s="3"/>
      <c r="M353" s="22">
        <f>IF(L353=$D353,$E353,0)</f>
        <v>8</v>
      </c>
      <c r="N353" s="1"/>
      <c r="O353" s="1"/>
      <c r="P353" s="1"/>
      <c r="Q353" s="1"/>
      <c r="R353" s="1"/>
      <c r="S353" s="1"/>
      <c r="T353" s="1"/>
    </row>
    <row r="354" spans="1:20" x14ac:dyDescent="0.2">
      <c r="A354" s="1"/>
      <c r="B354" s="5"/>
      <c r="C354" s="2">
        <v>2</v>
      </c>
      <c r="D354" s="4"/>
      <c r="E354" s="21">
        <v>7</v>
      </c>
      <c r="F354" s="3"/>
      <c r="G354" s="21">
        <f t="shared" ref="G354:G364" si="67">IF(F354=$D354,$E354,0)</f>
        <v>7</v>
      </c>
      <c r="H354" s="3"/>
      <c r="I354" s="21">
        <f t="shared" ref="I354:I364" si="68">IF(H354=$D354,$E354,0)</f>
        <v>7</v>
      </c>
      <c r="J354" s="3"/>
      <c r="K354" s="21">
        <f t="shared" ref="K354:K363" si="69">IF(J354=$D354,$E354,0)</f>
        <v>7</v>
      </c>
      <c r="L354" s="3"/>
      <c r="M354" s="22">
        <f t="shared" ref="M354:M364" si="70">IF(L354=$D354,$E354,0)</f>
        <v>7</v>
      </c>
      <c r="N354" s="1"/>
      <c r="O354" s="1"/>
      <c r="P354" s="1"/>
      <c r="Q354" s="1"/>
      <c r="R354" s="1"/>
      <c r="S354" s="1"/>
      <c r="T354" s="1"/>
    </row>
    <row r="355" spans="1:20" x14ac:dyDescent="0.2">
      <c r="A355" s="1"/>
      <c r="B355" s="5"/>
      <c r="C355" s="2">
        <v>3</v>
      </c>
      <c r="D355" s="4"/>
      <c r="E355" s="21">
        <v>6</v>
      </c>
      <c r="F355" s="3"/>
      <c r="G355" s="21">
        <f t="shared" si="67"/>
        <v>6</v>
      </c>
      <c r="H355" s="3"/>
      <c r="I355" s="21">
        <f t="shared" si="68"/>
        <v>6</v>
      </c>
      <c r="J355" s="3"/>
      <c r="K355" s="21">
        <f t="shared" si="69"/>
        <v>6</v>
      </c>
      <c r="L355" s="3"/>
      <c r="M355" s="22">
        <f t="shared" si="70"/>
        <v>6</v>
      </c>
      <c r="N355" s="1"/>
      <c r="O355" s="1"/>
      <c r="P355" s="1"/>
      <c r="Q355" s="1"/>
      <c r="R355" s="1"/>
      <c r="S355" s="1"/>
      <c r="T355" s="1"/>
    </row>
    <row r="356" spans="1:20" x14ac:dyDescent="0.2">
      <c r="A356" s="1"/>
      <c r="B356" s="5"/>
      <c r="C356" s="2">
        <v>4</v>
      </c>
      <c r="D356" s="4"/>
      <c r="E356" s="21">
        <v>5</v>
      </c>
      <c r="F356" s="3"/>
      <c r="G356" s="21">
        <f t="shared" si="67"/>
        <v>5</v>
      </c>
      <c r="H356" s="3"/>
      <c r="I356" s="21">
        <f t="shared" si="68"/>
        <v>5</v>
      </c>
      <c r="J356" s="3"/>
      <c r="K356" s="21">
        <f t="shared" si="69"/>
        <v>5</v>
      </c>
      <c r="L356" s="3"/>
      <c r="M356" s="22">
        <f t="shared" si="70"/>
        <v>5</v>
      </c>
      <c r="N356" s="1"/>
      <c r="O356" s="1"/>
      <c r="P356" s="1"/>
      <c r="Q356" s="1"/>
      <c r="R356" s="1"/>
      <c r="S356" s="1"/>
      <c r="T356" s="1"/>
    </row>
    <row r="357" spans="1:20" x14ac:dyDescent="0.2">
      <c r="A357" s="1"/>
      <c r="B357" s="5"/>
      <c r="C357" s="2">
        <v>5</v>
      </c>
      <c r="D357" s="4"/>
      <c r="E357" s="21">
        <v>4</v>
      </c>
      <c r="F357" s="3"/>
      <c r="G357" s="21">
        <f t="shared" si="67"/>
        <v>4</v>
      </c>
      <c r="H357" s="3"/>
      <c r="I357" s="21">
        <f t="shared" si="68"/>
        <v>4</v>
      </c>
      <c r="J357" s="3"/>
      <c r="K357" s="21">
        <f t="shared" si="69"/>
        <v>4</v>
      </c>
      <c r="L357" s="3"/>
      <c r="M357" s="22">
        <f t="shared" si="70"/>
        <v>4</v>
      </c>
      <c r="N357" s="1"/>
      <c r="O357" s="1"/>
      <c r="P357" s="1"/>
      <c r="Q357" s="1"/>
      <c r="R357" s="1"/>
      <c r="S357" s="1"/>
      <c r="T357" s="1"/>
    </row>
    <row r="358" spans="1:20" x14ac:dyDescent="0.2">
      <c r="A358" s="1"/>
      <c r="B358" s="5"/>
      <c r="C358" s="2">
        <v>6</v>
      </c>
      <c r="D358" s="4"/>
      <c r="E358" s="21">
        <v>3</v>
      </c>
      <c r="F358" s="3"/>
      <c r="G358" s="21">
        <f t="shared" si="67"/>
        <v>3</v>
      </c>
      <c r="H358" s="3"/>
      <c r="I358" s="21">
        <f t="shared" si="68"/>
        <v>3</v>
      </c>
      <c r="J358" s="3"/>
      <c r="K358" s="21">
        <f t="shared" si="69"/>
        <v>3</v>
      </c>
      <c r="L358" s="3"/>
      <c r="M358" s="22">
        <f t="shared" si="70"/>
        <v>3</v>
      </c>
      <c r="N358" s="1"/>
      <c r="O358" s="1"/>
      <c r="P358" s="1"/>
      <c r="Q358" s="1"/>
      <c r="R358" s="1"/>
      <c r="S358" s="1"/>
      <c r="T358" s="1"/>
    </row>
    <row r="359" spans="1:20" x14ac:dyDescent="0.2">
      <c r="A359" s="1"/>
      <c r="B359" s="5"/>
      <c r="C359" s="2">
        <v>7</v>
      </c>
      <c r="D359" s="4"/>
      <c r="E359" s="21">
        <v>2</v>
      </c>
      <c r="F359" s="3"/>
      <c r="G359" s="21">
        <f t="shared" si="67"/>
        <v>2</v>
      </c>
      <c r="H359" s="3"/>
      <c r="I359" s="21">
        <f t="shared" si="68"/>
        <v>2</v>
      </c>
      <c r="J359" s="3"/>
      <c r="K359" s="21">
        <f t="shared" si="69"/>
        <v>2</v>
      </c>
      <c r="L359" s="3"/>
      <c r="M359" s="22">
        <f t="shared" si="70"/>
        <v>2</v>
      </c>
      <c r="N359" s="1"/>
      <c r="O359" s="1"/>
      <c r="P359" s="1"/>
      <c r="Q359" s="1"/>
      <c r="R359" s="1"/>
      <c r="S359" s="1"/>
      <c r="T359" s="1"/>
    </row>
    <row r="360" spans="1:20" x14ac:dyDescent="0.2">
      <c r="A360" s="1"/>
      <c r="B360" s="5"/>
      <c r="C360" s="2">
        <v>8</v>
      </c>
      <c r="D360" s="4"/>
      <c r="E360" s="21">
        <v>1</v>
      </c>
      <c r="F360" s="3"/>
      <c r="G360" s="21">
        <f t="shared" si="67"/>
        <v>1</v>
      </c>
      <c r="H360" s="3"/>
      <c r="I360" s="21">
        <f t="shared" si="68"/>
        <v>1</v>
      </c>
      <c r="J360" s="3"/>
      <c r="K360" s="21">
        <f t="shared" si="69"/>
        <v>1</v>
      </c>
      <c r="L360" s="3"/>
      <c r="M360" s="22">
        <f t="shared" si="70"/>
        <v>1</v>
      </c>
      <c r="N360" s="1"/>
      <c r="O360" s="1"/>
      <c r="P360" s="1"/>
      <c r="Q360" s="1"/>
      <c r="R360" s="1"/>
      <c r="S360" s="1"/>
      <c r="T360" s="1"/>
    </row>
    <row r="361" spans="1:20" x14ac:dyDescent="0.2">
      <c r="A361" s="1"/>
      <c r="B361" s="5"/>
      <c r="C361" s="2">
        <v>9</v>
      </c>
      <c r="D361" s="4"/>
      <c r="E361" s="21">
        <v>0</v>
      </c>
      <c r="F361" s="3"/>
      <c r="G361" s="21">
        <f t="shared" si="67"/>
        <v>0</v>
      </c>
      <c r="H361" s="3"/>
      <c r="I361" s="21">
        <f t="shared" si="68"/>
        <v>0</v>
      </c>
      <c r="J361" s="3"/>
      <c r="K361" s="21">
        <f t="shared" si="69"/>
        <v>0</v>
      </c>
      <c r="L361" s="3"/>
      <c r="M361" s="22">
        <f t="shared" si="70"/>
        <v>0</v>
      </c>
      <c r="N361" s="1"/>
      <c r="O361" s="1"/>
      <c r="P361" s="1"/>
      <c r="Q361" s="1"/>
      <c r="R361" s="1"/>
      <c r="S361" s="1"/>
      <c r="T361" s="1"/>
    </row>
    <row r="362" spans="1:20" x14ac:dyDescent="0.2">
      <c r="A362" s="1"/>
      <c r="B362" s="5"/>
      <c r="C362" s="2">
        <v>10</v>
      </c>
      <c r="D362" s="4"/>
      <c r="E362" s="21">
        <v>0</v>
      </c>
      <c r="F362" s="3"/>
      <c r="G362" s="21">
        <f t="shared" si="67"/>
        <v>0</v>
      </c>
      <c r="H362" s="3"/>
      <c r="I362" s="21">
        <f t="shared" si="68"/>
        <v>0</v>
      </c>
      <c r="J362" s="3"/>
      <c r="K362" s="21">
        <f t="shared" si="69"/>
        <v>0</v>
      </c>
      <c r="L362" s="3"/>
      <c r="M362" s="22">
        <f t="shared" si="70"/>
        <v>0</v>
      </c>
      <c r="N362" s="1"/>
      <c r="O362" s="1"/>
      <c r="P362" s="1"/>
      <c r="Q362" s="1"/>
      <c r="R362" s="1"/>
      <c r="S362" s="1"/>
      <c r="T362" s="1"/>
    </row>
    <row r="363" spans="1:20" x14ac:dyDescent="0.2">
      <c r="A363" s="1"/>
      <c r="B363" s="19"/>
      <c r="C363" s="2" t="s">
        <v>4</v>
      </c>
      <c r="D363" s="4"/>
      <c r="E363" s="21">
        <v>0</v>
      </c>
      <c r="F363" s="3"/>
      <c r="G363" s="21">
        <f t="shared" si="67"/>
        <v>0</v>
      </c>
      <c r="H363" s="3"/>
      <c r="I363" s="21">
        <f t="shared" si="68"/>
        <v>0</v>
      </c>
      <c r="J363" s="3"/>
      <c r="K363" s="21">
        <f t="shared" si="69"/>
        <v>0</v>
      </c>
      <c r="L363" s="3"/>
      <c r="M363" s="22">
        <f t="shared" si="70"/>
        <v>0</v>
      </c>
      <c r="N363" s="1"/>
      <c r="O363" s="1"/>
      <c r="P363" s="1"/>
      <c r="Q363" s="1"/>
      <c r="R363" s="1"/>
      <c r="S363" s="1"/>
      <c r="T363" s="1"/>
    </row>
    <row r="364" spans="1:20" x14ac:dyDescent="0.2">
      <c r="A364" s="1"/>
      <c r="B364" s="19"/>
      <c r="C364" s="2" t="s">
        <v>19</v>
      </c>
      <c r="D364" s="4"/>
      <c r="E364" s="21">
        <v>0</v>
      </c>
      <c r="F364" s="3"/>
      <c r="G364" s="21">
        <f t="shared" si="67"/>
        <v>0</v>
      </c>
      <c r="H364" s="3"/>
      <c r="I364" s="21">
        <f t="shared" si="68"/>
        <v>0</v>
      </c>
      <c r="J364" s="3"/>
      <c r="K364" s="21">
        <f>IF(J364=$D364,$E364,0)</f>
        <v>0</v>
      </c>
      <c r="L364" s="3"/>
      <c r="M364" s="22">
        <f t="shared" si="70"/>
        <v>0</v>
      </c>
      <c r="N364" s="1"/>
      <c r="O364" s="1"/>
      <c r="P364" s="1"/>
      <c r="Q364" s="1"/>
      <c r="R364" s="1"/>
      <c r="S364" s="1"/>
      <c r="T364" s="1"/>
    </row>
    <row r="365" spans="1:20" x14ac:dyDescent="0.2">
      <c r="A365" s="1"/>
      <c r="B365" s="15"/>
      <c r="C365" s="16"/>
      <c r="D365" s="17"/>
      <c r="E365" s="20"/>
      <c r="F365" s="15"/>
      <c r="G365" s="20"/>
      <c r="H365" s="15"/>
      <c r="I365" s="20"/>
      <c r="J365" s="15"/>
      <c r="K365" s="20"/>
      <c r="L365" s="18"/>
      <c r="M365" s="20"/>
      <c r="N365" s="1"/>
      <c r="O365" s="1"/>
      <c r="P365" s="1"/>
      <c r="Q365" s="1"/>
      <c r="R365" s="1"/>
      <c r="S365" s="1"/>
      <c r="T365" s="1"/>
    </row>
    <row r="366" spans="1:20" x14ac:dyDescent="0.2">
      <c r="A366" s="1"/>
      <c r="B366" s="39"/>
      <c r="C366" s="40"/>
      <c r="D366" s="40" t="s">
        <v>16</v>
      </c>
      <c r="E366" s="41"/>
      <c r="F366" s="42"/>
      <c r="G366" s="41">
        <f>SUM(G353:G364)</f>
        <v>36</v>
      </c>
      <c r="H366" s="42"/>
      <c r="I366" s="41">
        <f>SUM(I353:I364)</f>
        <v>36</v>
      </c>
      <c r="J366" s="42"/>
      <c r="K366" s="41">
        <f>SUM(K353:K364)</f>
        <v>36</v>
      </c>
      <c r="L366" s="43"/>
      <c r="M366" s="41">
        <f>SUM(M353:M364)</f>
        <v>36</v>
      </c>
      <c r="N366" s="1"/>
      <c r="O366" s="1"/>
      <c r="P366" s="1"/>
      <c r="Q366" s="1"/>
      <c r="R366" s="1"/>
      <c r="S366" s="1"/>
      <c r="T366" s="1"/>
    </row>
    <row r="367" spans="1:20" x14ac:dyDescent="0.2">
      <c r="A367" s="1"/>
      <c r="B367" s="39"/>
      <c r="C367" s="40"/>
      <c r="D367" s="40" t="s">
        <v>5</v>
      </c>
      <c r="E367" s="41"/>
      <c r="F367" s="42"/>
      <c r="G367" s="41">
        <f>G366+G347</f>
        <v>285</v>
      </c>
      <c r="H367" s="42"/>
      <c r="I367" s="41">
        <f>I366+I347</f>
        <v>357</v>
      </c>
      <c r="J367" s="42"/>
      <c r="K367" s="41">
        <f>K366+K347</f>
        <v>331</v>
      </c>
      <c r="L367" s="43"/>
      <c r="M367" s="41">
        <f>M366+M347</f>
        <v>373</v>
      </c>
      <c r="N367" s="1"/>
      <c r="O367" s="1"/>
      <c r="P367" s="1"/>
      <c r="Q367" s="1"/>
      <c r="R367" s="1"/>
      <c r="S367" s="1"/>
      <c r="T367" s="1"/>
    </row>
    <row r="368" spans="1:2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24" x14ac:dyDescent="0.3">
      <c r="A369" s="1"/>
      <c r="B369" s="53" t="s">
        <v>44</v>
      </c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1"/>
      <c r="O369" s="1"/>
      <c r="P369" s="1"/>
      <c r="Q369" s="1"/>
      <c r="R369" s="1"/>
      <c r="S369" s="1"/>
      <c r="T369" s="1"/>
    </row>
    <row r="370" spans="1:20" ht="19" x14ac:dyDescent="0.25">
      <c r="A370" s="1"/>
      <c r="B370" s="34"/>
      <c r="C370" s="35"/>
      <c r="D370" s="35"/>
      <c r="E370" s="36"/>
      <c r="F370" s="51" t="s">
        <v>0</v>
      </c>
      <c r="G370" s="52"/>
      <c r="H370" s="51" t="s">
        <v>1</v>
      </c>
      <c r="I370" s="52"/>
      <c r="J370" s="51" t="s">
        <v>2</v>
      </c>
      <c r="K370" s="52"/>
      <c r="L370" s="51" t="s">
        <v>3</v>
      </c>
      <c r="M370" s="52"/>
      <c r="N370" s="1"/>
      <c r="O370" s="1"/>
      <c r="P370" s="1"/>
      <c r="Q370" s="1"/>
      <c r="R370" s="1"/>
      <c r="S370" s="1"/>
      <c r="T370" s="1"/>
    </row>
    <row r="371" spans="1:20" ht="19" x14ac:dyDescent="0.25">
      <c r="A371" s="1"/>
      <c r="B371" s="49" t="s">
        <v>7</v>
      </c>
      <c r="C371" s="50"/>
      <c r="D371" s="50"/>
      <c r="E371" s="37" t="s">
        <v>6</v>
      </c>
      <c r="F371" s="38" t="s">
        <v>7</v>
      </c>
      <c r="G371" s="37" t="s">
        <v>6</v>
      </c>
      <c r="H371" s="38" t="s">
        <v>7</v>
      </c>
      <c r="I371" s="37" t="s">
        <v>6</v>
      </c>
      <c r="J371" s="38" t="s">
        <v>7</v>
      </c>
      <c r="K371" s="37" t="s">
        <v>6</v>
      </c>
      <c r="L371" s="38" t="s">
        <v>7</v>
      </c>
      <c r="M371" s="37" t="s">
        <v>6</v>
      </c>
      <c r="N371" s="1"/>
      <c r="O371" s="1"/>
      <c r="P371" s="1"/>
      <c r="Q371" s="1"/>
      <c r="R371" s="1"/>
      <c r="S371" s="1"/>
      <c r="T371" s="1"/>
    </row>
    <row r="372" spans="1:20" x14ac:dyDescent="0.2">
      <c r="A372" s="1"/>
      <c r="B372" s="9"/>
      <c r="C372" s="10"/>
      <c r="D372" s="11"/>
      <c r="E372" s="12"/>
      <c r="F372" s="13"/>
      <c r="G372" s="12"/>
      <c r="H372" s="13"/>
      <c r="I372" s="12"/>
      <c r="J372" s="13"/>
      <c r="K372" s="12"/>
      <c r="L372" s="14"/>
      <c r="M372" s="12"/>
      <c r="N372" s="1"/>
      <c r="O372" s="1"/>
      <c r="P372" s="1"/>
      <c r="Q372" s="1"/>
      <c r="R372" s="1"/>
      <c r="S372" s="1"/>
      <c r="T372" s="1"/>
    </row>
    <row r="373" spans="1:20" x14ac:dyDescent="0.2">
      <c r="A373" s="1"/>
      <c r="B373" s="5"/>
      <c r="C373" s="2">
        <v>1</v>
      </c>
      <c r="D373" s="4"/>
      <c r="E373" s="21">
        <v>25</v>
      </c>
      <c r="F373" s="4"/>
      <c r="G373" s="21">
        <f>IF(F373=$D373,$E373,0)</f>
        <v>25</v>
      </c>
      <c r="H373" s="4"/>
      <c r="I373" s="21">
        <f>IF(H373=$D373,$E373,0)</f>
        <v>25</v>
      </c>
      <c r="J373" s="4"/>
      <c r="K373" s="21">
        <f>IF(J373=$D373,$E373,0)</f>
        <v>25</v>
      </c>
      <c r="L373" s="4"/>
      <c r="M373" s="22">
        <f>IF(L373=$D373,$E373,0)</f>
        <v>25</v>
      </c>
      <c r="N373" s="1"/>
      <c r="O373" s="1"/>
      <c r="P373" s="1"/>
      <c r="Q373" s="1"/>
      <c r="R373" s="1"/>
      <c r="S373" s="1"/>
      <c r="T373" s="1"/>
    </row>
    <row r="374" spans="1:20" x14ac:dyDescent="0.2">
      <c r="A374" s="1"/>
      <c r="B374" s="5"/>
      <c r="C374" s="2">
        <v>2</v>
      </c>
      <c r="D374" s="4"/>
      <c r="E374" s="21">
        <v>18</v>
      </c>
      <c r="F374" s="3"/>
      <c r="G374" s="21">
        <f t="shared" ref="G374:G384" si="71">IF(F374=$D374,$E374,0)</f>
        <v>18</v>
      </c>
      <c r="H374" s="3"/>
      <c r="I374" s="21">
        <f t="shared" ref="I374:I384" si="72">IF(H374=$D374,$E374,0)</f>
        <v>18</v>
      </c>
      <c r="J374" s="3"/>
      <c r="K374" s="21">
        <f t="shared" ref="K374:K384" si="73">IF(J374=$D374,$E374,0)</f>
        <v>18</v>
      </c>
      <c r="L374" s="3"/>
      <c r="M374" s="22">
        <f t="shared" ref="M374:M384" si="74">IF(L374=$D374,$E374,0)</f>
        <v>18</v>
      </c>
      <c r="N374" s="1"/>
      <c r="O374" s="1"/>
      <c r="P374" s="1"/>
      <c r="Q374" s="1"/>
      <c r="R374" s="1"/>
      <c r="S374" s="1"/>
      <c r="T374" s="1"/>
    </row>
    <row r="375" spans="1:20" x14ac:dyDescent="0.2">
      <c r="A375" s="1"/>
      <c r="B375" s="5"/>
      <c r="C375" s="2">
        <v>3</v>
      </c>
      <c r="D375" s="4"/>
      <c r="E375" s="21">
        <v>15</v>
      </c>
      <c r="F375" s="3"/>
      <c r="G375" s="21">
        <f t="shared" si="71"/>
        <v>15</v>
      </c>
      <c r="H375" s="3"/>
      <c r="I375" s="21">
        <f t="shared" si="72"/>
        <v>15</v>
      </c>
      <c r="J375" s="3"/>
      <c r="K375" s="21">
        <f t="shared" si="73"/>
        <v>15</v>
      </c>
      <c r="L375" s="3"/>
      <c r="M375" s="22">
        <f t="shared" si="74"/>
        <v>15</v>
      </c>
      <c r="N375" s="1"/>
      <c r="O375" s="1"/>
      <c r="P375" s="1"/>
      <c r="Q375" s="1"/>
      <c r="R375" s="1"/>
      <c r="S375" s="1"/>
      <c r="T375" s="1"/>
    </row>
    <row r="376" spans="1:20" x14ac:dyDescent="0.2">
      <c r="A376" s="1"/>
      <c r="B376" s="5"/>
      <c r="C376" s="2">
        <v>4</v>
      </c>
      <c r="D376" s="4"/>
      <c r="E376" s="21">
        <v>12</v>
      </c>
      <c r="F376" s="3"/>
      <c r="G376" s="21">
        <f t="shared" si="71"/>
        <v>12</v>
      </c>
      <c r="H376" s="3"/>
      <c r="I376" s="21">
        <f t="shared" si="72"/>
        <v>12</v>
      </c>
      <c r="J376" s="3"/>
      <c r="K376" s="21">
        <f t="shared" si="73"/>
        <v>12</v>
      </c>
      <c r="L376" s="3"/>
      <c r="M376" s="22">
        <f t="shared" si="74"/>
        <v>12</v>
      </c>
      <c r="N376" s="1"/>
      <c r="O376" s="1"/>
      <c r="P376" s="1"/>
      <c r="Q376" s="1"/>
      <c r="R376" s="1"/>
      <c r="S376" s="1"/>
      <c r="T376" s="1"/>
    </row>
    <row r="377" spans="1:20" x14ac:dyDescent="0.2">
      <c r="A377" s="1"/>
      <c r="B377" s="5"/>
      <c r="C377" s="2">
        <v>5</v>
      </c>
      <c r="D377" s="4"/>
      <c r="E377" s="21">
        <v>10</v>
      </c>
      <c r="F377" s="3"/>
      <c r="G377" s="21">
        <f t="shared" si="71"/>
        <v>10</v>
      </c>
      <c r="H377" s="3"/>
      <c r="I377" s="21">
        <f t="shared" si="72"/>
        <v>10</v>
      </c>
      <c r="J377" s="3"/>
      <c r="K377" s="21">
        <f t="shared" si="73"/>
        <v>10</v>
      </c>
      <c r="L377" s="3"/>
      <c r="M377" s="22">
        <f t="shared" si="74"/>
        <v>10</v>
      </c>
      <c r="N377" s="1"/>
      <c r="O377" s="1"/>
      <c r="P377" s="1"/>
      <c r="Q377" s="1"/>
      <c r="R377" s="1"/>
      <c r="S377" s="1"/>
      <c r="T377" s="1"/>
    </row>
    <row r="378" spans="1:20" x14ac:dyDescent="0.2">
      <c r="A378" s="1"/>
      <c r="B378" s="5"/>
      <c r="C378" s="2">
        <v>6</v>
      </c>
      <c r="D378" s="4"/>
      <c r="E378" s="21">
        <v>8</v>
      </c>
      <c r="F378" s="3"/>
      <c r="G378" s="21">
        <f t="shared" si="71"/>
        <v>8</v>
      </c>
      <c r="H378" s="3"/>
      <c r="I378" s="21">
        <f t="shared" si="72"/>
        <v>8</v>
      </c>
      <c r="J378" s="3"/>
      <c r="K378" s="21">
        <f t="shared" si="73"/>
        <v>8</v>
      </c>
      <c r="L378" s="3"/>
      <c r="M378" s="22">
        <f t="shared" si="74"/>
        <v>8</v>
      </c>
      <c r="N378" s="1"/>
      <c r="O378" s="1"/>
      <c r="P378" s="1"/>
      <c r="Q378" s="1"/>
      <c r="R378" s="1"/>
      <c r="S378" s="1"/>
      <c r="T378" s="1"/>
    </row>
    <row r="379" spans="1:20" x14ac:dyDescent="0.2">
      <c r="A379" s="1"/>
      <c r="B379" s="5"/>
      <c r="C379" s="2">
        <v>7</v>
      </c>
      <c r="D379" s="4"/>
      <c r="E379" s="21">
        <v>6</v>
      </c>
      <c r="F379" s="3"/>
      <c r="G379" s="21">
        <f t="shared" si="71"/>
        <v>6</v>
      </c>
      <c r="H379" s="3"/>
      <c r="I379" s="21">
        <f t="shared" si="72"/>
        <v>6</v>
      </c>
      <c r="J379" s="3"/>
      <c r="K379" s="21">
        <f t="shared" si="73"/>
        <v>6</v>
      </c>
      <c r="L379" s="3"/>
      <c r="M379" s="22">
        <f t="shared" si="74"/>
        <v>6</v>
      </c>
      <c r="N379" s="1"/>
      <c r="O379" s="1"/>
      <c r="P379" s="1"/>
      <c r="Q379" s="1"/>
      <c r="R379" s="1"/>
      <c r="S379" s="1"/>
      <c r="T379" s="1"/>
    </row>
    <row r="380" spans="1:20" x14ac:dyDescent="0.2">
      <c r="A380" s="1"/>
      <c r="B380" s="5"/>
      <c r="C380" s="2">
        <v>8</v>
      </c>
      <c r="D380" s="4"/>
      <c r="E380" s="21">
        <v>4</v>
      </c>
      <c r="F380" s="3"/>
      <c r="G380" s="21">
        <f t="shared" si="71"/>
        <v>4</v>
      </c>
      <c r="H380" s="3"/>
      <c r="I380" s="21">
        <f t="shared" si="72"/>
        <v>4</v>
      </c>
      <c r="J380" s="3"/>
      <c r="K380" s="21">
        <f t="shared" si="73"/>
        <v>4</v>
      </c>
      <c r="L380" s="3"/>
      <c r="M380" s="22">
        <f t="shared" si="74"/>
        <v>4</v>
      </c>
      <c r="N380" s="1"/>
      <c r="O380" s="1"/>
      <c r="P380" s="1"/>
      <c r="Q380" s="1"/>
      <c r="R380" s="1"/>
      <c r="S380" s="1"/>
      <c r="T380" s="1"/>
    </row>
    <row r="381" spans="1:20" x14ac:dyDescent="0.2">
      <c r="A381" s="1"/>
      <c r="B381" s="5"/>
      <c r="C381" s="2">
        <v>9</v>
      </c>
      <c r="D381" s="4"/>
      <c r="E381" s="21">
        <v>2</v>
      </c>
      <c r="F381" s="3"/>
      <c r="G381" s="21">
        <f t="shared" si="71"/>
        <v>2</v>
      </c>
      <c r="H381" s="3"/>
      <c r="I381" s="21">
        <f t="shared" si="72"/>
        <v>2</v>
      </c>
      <c r="J381" s="3"/>
      <c r="K381" s="21">
        <f t="shared" si="73"/>
        <v>2</v>
      </c>
      <c r="L381" s="3"/>
      <c r="M381" s="22">
        <f t="shared" si="74"/>
        <v>2</v>
      </c>
      <c r="N381" s="1"/>
      <c r="O381" s="1"/>
      <c r="P381" s="1"/>
      <c r="Q381" s="1"/>
      <c r="R381" s="1"/>
      <c r="S381" s="1"/>
      <c r="T381" s="1"/>
    </row>
    <row r="382" spans="1:20" x14ac:dyDescent="0.2">
      <c r="A382" s="1"/>
      <c r="B382" s="5"/>
      <c r="C382" s="2">
        <v>10</v>
      </c>
      <c r="D382" s="4"/>
      <c r="E382" s="21">
        <v>1</v>
      </c>
      <c r="F382" s="3"/>
      <c r="G382" s="21">
        <f t="shared" si="71"/>
        <v>1</v>
      </c>
      <c r="H382" s="3"/>
      <c r="I382" s="21">
        <f t="shared" si="72"/>
        <v>1</v>
      </c>
      <c r="J382" s="3"/>
      <c r="K382" s="21">
        <f t="shared" si="73"/>
        <v>1</v>
      </c>
      <c r="L382" s="6"/>
      <c r="M382" s="22">
        <f t="shared" si="74"/>
        <v>1</v>
      </c>
      <c r="N382" s="1"/>
      <c r="O382" s="1"/>
      <c r="P382" s="1"/>
      <c r="Q382" s="1"/>
      <c r="R382" s="1"/>
      <c r="S382" s="1"/>
      <c r="T382" s="1"/>
    </row>
    <row r="383" spans="1:20" x14ac:dyDescent="0.2">
      <c r="A383" s="1"/>
      <c r="B383" s="19"/>
      <c r="C383" s="2" t="s">
        <v>4</v>
      </c>
      <c r="D383" s="4"/>
      <c r="E383" s="21">
        <v>1</v>
      </c>
      <c r="F383" s="4"/>
      <c r="G383" s="21">
        <f t="shared" si="71"/>
        <v>1</v>
      </c>
      <c r="H383" s="4"/>
      <c r="I383" s="21">
        <f t="shared" si="72"/>
        <v>1</v>
      </c>
      <c r="J383" s="4"/>
      <c r="K383" s="21">
        <f t="shared" si="73"/>
        <v>1</v>
      </c>
      <c r="L383" s="4"/>
      <c r="M383" s="22">
        <f t="shared" si="74"/>
        <v>1</v>
      </c>
      <c r="N383" s="1"/>
      <c r="O383" s="1"/>
      <c r="P383" s="1"/>
      <c r="Q383" s="1"/>
      <c r="R383" s="1"/>
      <c r="S383" s="1"/>
      <c r="T383" s="1"/>
    </row>
    <row r="384" spans="1:20" x14ac:dyDescent="0.2">
      <c r="A384" s="1"/>
      <c r="B384" s="19"/>
      <c r="C384" s="2" t="s">
        <v>19</v>
      </c>
      <c r="D384" s="4"/>
      <c r="E384" s="21">
        <v>10</v>
      </c>
      <c r="F384" s="3"/>
      <c r="G384" s="21">
        <f t="shared" si="71"/>
        <v>10</v>
      </c>
      <c r="H384" s="3"/>
      <c r="I384" s="21">
        <f t="shared" si="72"/>
        <v>10</v>
      </c>
      <c r="J384" s="3"/>
      <c r="K384" s="21">
        <f t="shared" si="73"/>
        <v>10</v>
      </c>
      <c r="L384" s="3"/>
      <c r="M384" s="22">
        <f t="shared" si="74"/>
        <v>10</v>
      </c>
      <c r="N384" s="1"/>
      <c r="O384" s="1"/>
      <c r="P384" s="1"/>
      <c r="Q384" s="1"/>
      <c r="R384" s="1"/>
      <c r="S384" s="1"/>
      <c r="T384" s="1"/>
    </row>
    <row r="385" spans="1:20" x14ac:dyDescent="0.2">
      <c r="A385" s="1"/>
      <c r="B385" s="15"/>
      <c r="C385" s="16"/>
      <c r="D385" s="17"/>
      <c r="E385" s="20"/>
      <c r="F385" s="15"/>
      <c r="G385" s="20"/>
      <c r="H385" s="15"/>
      <c r="I385" s="20"/>
      <c r="J385" s="15"/>
      <c r="K385" s="20"/>
      <c r="L385" s="18"/>
      <c r="M385" s="20"/>
      <c r="N385" s="1"/>
      <c r="O385" s="1"/>
      <c r="P385" s="1"/>
      <c r="Q385" s="1"/>
      <c r="R385" s="1"/>
      <c r="S385" s="1"/>
      <c r="T385" s="1"/>
    </row>
    <row r="386" spans="1:20" x14ac:dyDescent="0.2">
      <c r="A386" s="1"/>
      <c r="B386" s="39"/>
      <c r="C386" s="40"/>
      <c r="D386" s="40" t="s">
        <v>16</v>
      </c>
      <c r="E386" s="41"/>
      <c r="F386" s="42"/>
      <c r="G386" s="41">
        <f>SUM(G373:G384)</f>
        <v>112</v>
      </c>
      <c r="H386" s="42"/>
      <c r="I386" s="41">
        <f>SUM(I373:I384)</f>
        <v>112</v>
      </c>
      <c r="J386" s="42"/>
      <c r="K386" s="41">
        <f>SUM(K373:K384)</f>
        <v>112</v>
      </c>
      <c r="L386" s="43"/>
      <c r="M386" s="41">
        <f>SUM(M373:M384)</f>
        <v>112</v>
      </c>
      <c r="N386" s="1"/>
      <c r="O386" s="1"/>
      <c r="P386" s="1"/>
      <c r="Q386" s="1"/>
      <c r="R386" s="1"/>
      <c r="S386" s="1"/>
      <c r="T386" s="1"/>
    </row>
    <row r="387" spans="1:20" x14ac:dyDescent="0.2">
      <c r="A387" s="1"/>
      <c r="B387" s="39"/>
      <c r="C387" s="40"/>
      <c r="D387" s="40" t="s">
        <v>5</v>
      </c>
      <c r="E387" s="41"/>
      <c r="F387" s="42"/>
      <c r="G387" s="41">
        <f>G386+G367</f>
        <v>397</v>
      </c>
      <c r="H387" s="42"/>
      <c r="I387" s="41">
        <f>I386+I367</f>
        <v>469</v>
      </c>
      <c r="J387" s="42"/>
      <c r="K387" s="41">
        <f>K386+K367</f>
        <v>443</v>
      </c>
      <c r="L387" s="43"/>
      <c r="M387" s="41">
        <f>M386+M367</f>
        <v>485</v>
      </c>
      <c r="N387" s="1"/>
      <c r="O387" s="1"/>
      <c r="P387" s="1"/>
      <c r="Q387" s="1"/>
      <c r="R387" s="1"/>
      <c r="S387" s="1"/>
      <c r="T387" s="1"/>
    </row>
    <row r="388" spans="1:2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24" x14ac:dyDescent="0.3">
      <c r="A389" s="1"/>
      <c r="B389" s="53" t="s">
        <v>45</v>
      </c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1"/>
      <c r="O389" s="1"/>
      <c r="P389" s="1"/>
      <c r="Q389" s="1"/>
      <c r="R389" s="1"/>
      <c r="S389" s="1"/>
      <c r="T389" s="1"/>
    </row>
    <row r="390" spans="1:20" ht="19" x14ac:dyDescent="0.25">
      <c r="A390" s="1"/>
      <c r="B390" s="34"/>
      <c r="C390" s="35"/>
      <c r="D390" s="35"/>
      <c r="E390" s="36"/>
      <c r="F390" s="51" t="s">
        <v>0</v>
      </c>
      <c r="G390" s="52"/>
      <c r="H390" s="51" t="s">
        <v>1</v>
      </c>
      <c r="I390" s="52"/>
      <c r="J390" s="51" t="s">
        <v>2</v>
      </c>
      <c r="K390" s="52"/>
      <c r="L390" s="51" t="s">
        <v>3</v>
      </c>
      <c r="M390" s="52"/>
      <c r="N390" s="1"/>
      <c r="O390" s="1"/>
      <c r="P390" s="1"/>
      <c r="Q390" s="1"/>
      <c r="R390" s="1"/>
    </row>
    <row r="391" spans="1:20" ht="19" x14ac:dyDescent="0.25">
      <c r="A391" s="1"/>
      <c r="B391" s="49" t="s">
        <v>7</v>
      </c>
      <c r="C391" s="50"/>
      <c r="D391" s="50"/>
      <c r="E391" s="37" t="s">
        <v>6</v>
      </c>
      <c r="F391" s="38" t="s">
        <v>7</v>
      </c>
      <c r="G391" s="37" t="s">
        <v>6</v>
      </c>
      <c r="H391" s="38" t="s">
        <v>7</v>
      </c>
      <c r="I391" s="37" t="s">
        <v>6</v>
      </c>
      <c r="J391" s="38" t="s">
        <v>7</v>
      </c>
      <c r="K391" s="37" t="s">
        <v>6</v>
      </c>
      <c r="L391" s="38" t="s">
        <v>7</v>
      </c>
      <c r="M391" s="37" t="s">
        <v>6</v>
      </c>
      <c r="N391" s="1"/>
      <c r="O391" s="1"/>
      <c r="P391" s="1"/>
      <c r="Q391" s="1"/>
      <c r="R391" s="1"/>
    </row>
    <row r="392" spans="1:20" x14ac:dyDescent="0.2">
      <c r="A392" s="1"/>
      <c r="B392" s="9"/>
      <c r="C392" s="10"/>
      <c r="D392" s="11"/>
      <c r="E392" s="12"/>
      <c r="F392" s="13"/>
      <c r="G392" s="12"/>
      <c r="H392" s="13"/>
      <c r="I392" s="12"/>
      <c r="J392" s="13"/>
      <c r="K392" s="12"/>
      <c r="L392" s="14"/>
      <c r="M392" s="12"/>
      <c r="N392" s="1"/>
      <c r="O392" s="1"/>
      <c r="P392" s="1"/>
      <c r="Q392" s="1"/>
      <c r="R392" s="1"/>
    </row>
    <row r="393" spans="1:20" x14ac:dyDescent="0.2">
      <c r="A393" s="1"/>
      <c r="B393" s="5"/>
      <c r="C393" s="2">
        <v>1</v>
      </c>
      <c r="D393" s="4"/>
      <c r="E393" s="21">
        <v>25</v>
      </c>
      <c r="F393" s="4"/>
      <c r="G393" s="21">
        <f>IF(F393=$D393,$E393,0)</f>
        <v>25</v>
      </c>
      <c r="H393" s="4"/>
      <c r="I393" s="21">
        <f>IF(H393=$D393,$E393,0)</f>
        <v>25</v>
      </c>
      <c r="J393" s="4"/>
      <c r="K393" s="21">
        <f>IF(J393=$D393,$E393,0)</f>
        <v>25</v>
      </c>
      <c r="L393" s="4"/>
      <c r="M393" s="22">
        <f>IF(L393=$D393,$E393,0)</f>
        <v>25</v>
      </c>
      <c r="N393" s="1"/>
      <c r="O393" s="1"/>
      <c r="P393" s="1"/>
      <c r="Q393" s="1"/>
      <c r="R393" s="1"/>
    </row>
    <row r="394" spans="1:20" x14ac:dyDescent="0.2">
      <c r="A394" s="1"/>
      <c r="B394" s="5"/>
      <c r="C394" s="2">
        <v>2</v>
      </c>
      <c r="D394" s="4"/>
      <c r="E394" s="21">
        <v>18</v>
      </c>
      <c r="F394" s="3"/>
      <c r="G394" s="21">
        <f t="shared" ref="G394:G404" si="75">IF(F394=$D394,$E394,0)</f>
        <v>18</v>
      </c>
      <c r="H394" s="3"/>
      <c r="I394" s="21">
        <f t="shared" ref="I394:I404" si="76">IF(H394=$D394,$E394,0)</f>
        <v>18</v>
      </c>
      <c r="J394" s="3"/>
      <c r="K394" s="21">
        <f t="shared" ref="K394:K404" si="77">IF(J394=$D394,$E394,0)</f>
        <v>18</v>
      </c>
      <c r="L394" s="3"/>
      <c r="M394" s="22">
        <f t="shared" ref="M394:M404" si="78">IF(L394=$D394,$E394,0)</f>
        <v>18</v>
      </c>
      <c r="N394" s="1"/>
      <c r="O394" s="1"/>
      <c r="P394" s="1"/>
      <c r="Q394" s="1"/>
      <c r="R394" s="1"/>
    </row>
    <row r="395" spans="1:20" x14ac:dyDescent="0.2">
      <c r="A395" s="1"/>
      <c r="B395" s="5"/>
      <c r="C395" s="2">
        <v>3</v>
      </c>
      <c r="D395" s="4"/>
      <c r="E395" s="21">
        <v>15</v>
      </c>
      <c r="F395" s="3"/>
      <c r="G395" s="21">
        <f t="shared" si="75"/>
        <v>15</v>
      </c>
      <c r="H395" s="3"/>
      <c r="I395" s="21">
        <f t="shared" si="76"/>
        <v>15</v>
      </c>
      <c r="J395" s="3"/>
      <c r="K395" s="21">
        <f t="shared" si="77"/>
        <v>15</v>
      </c>
      <c r="L395" s="3"/>
      <c r="M395" s="22">
        <f t="shared" si="78"/>
        <v>15</v>
      </c>
      <c r="N395" s="1"/>
      <c r="O395" s="1"/>
      <c r="P395" s="1"/>
      <c r="Q395" s="1"/>
      <c r="R395" s="1"/>
    </row>
    <row r="396" spans="1:20" x14ac:dyDescent="0.2">
      <c r="A396" s="1"/>
      <c r="B396" s="5"/>
      <c r="C396" s="2">
        <v>4</v>
      </c>
      <c r="D396" s="4"/>
      <c r="E396" s="21">
        <v>12</v>
      </c>
      <c r="F396" s="3"/>
      <c r="G396" s="21">
        <f t="shared" si="75"/>
        <v>12</v>
      </c>
      <c r="H396" s="3"/>
      <c r="I396" s="21">
        <f t="shared" si="76"/>
        <v>12</v>
      </c>
      <c r="J396" s="3"/>
      <c r="K396" s="21">
        <f t="shared" si="77"/>
        <v>12</v>
      </c>
      <c r="L396" s="3"/>
      <c r="M396" s="22">
        <f t="shared" si="78"/>
        <v>12</v>
      </c>
      <c r="N396" s="1"/>
      <c r="O396" s="1"/>
      <c r="P396" s="1"/>
      <c r="Q396" s="1"/>
      <c r="R396" s="1"/>
    </row>
    <row r="397" spans="1:20" x14ac:dyDescent="0.2">
      <c r="A397" s="1"/>
      <c r="B397" s="5"/>
      <c r="C397" s="2">
        <v>5</v>
      </c>
      <c r="D397" s="4"/>
      <c r="E397" s="21">
        <v>10</v>
      </c>
      <c r="F397" s="3"/>
      <c r="G397" s="21">
        <f t="shared" si="75"/>
        <v>10</v>
      </c>
      <c r="H397" s="3"/>
      <c r="I397" s="21">
        <f t="shared" si="76"/>
        <v>10</v>
      </c>
      <c r="J397" s="3"/>
      <c r="K397" s="21">
        <f t="shared" si="77"/>
        <v>10</v>
      </c>
      <c r="L397" s="3"/>
      <c r="M397" s="22">
        <f t="shared" si="78"/>
        <v>10</v>
      </c>
      <c r="N397" s="1"/>
      <c r="O397" s="1"/>
      <c r="P397" s="1"/>
      <c r="Q397" s="1"/>
      <c r="R397" s="1"/>
    </row>
    <row r="398" spans="1:20" x14ac:dyDescent="0.2">
      <c r="A398" s="1"/>
      <c r="B398" s="5"/>
      <c r="C398" s="2">
        <v>6</v>
      </c>
      <c r="D398" s="4"/>
      <c r="E398" s="21">
        <v>8</v>
      </c>
      <c r="F398" s="3"/>
      <c r="G398" s="21">
        <f t="shared" si="75"/>
        <v>8</v>
      </c>
      <c r="H398" s="3"/>
      <c r="I398" s="21">
        <f t="shared" si="76"/>
        <v>8</v>
      </c>
      <c r="J398" s="3"/>
      <c r="K398" s="21">
        <f t="shared" si="77"/>
        <v>8</v>
      </c>
      <c r="L398" s="3"/>
      <c r="M398" s="22">
        <f t="shared" si="78"/>
        <v>8</v>
      </c>
      <c r="N398" s="1"/>
      <c r="O398" s="1"/>
      <c r="P398" s="1"/>
      <c r="Q398" s="1"/>
      <c r="R398" s="1"/>
    </row>
    <row r="399" spans="1:20" x14ac:dyDescent="0.2">
      <c r="A399" s="1"/>
      <c r="B399" s="5"/>
      <c r="C399" s="2">
        <v>7</v>
      </c>
      <c r="D399" s="4"/>
      <c r="E399" s="21">
        <v>6</v>
      </c>
      <c r="F399" s="3"/>
      <c r="G399" s="21">
        <f t="shared" si="75"/>
        <v>6</v>
      </c>
      <c r="H399" s="3"/>
      <c r="I399" s="21">
        <f t="shared" si="76"/>
        <v>6</v>
      </c>
      <c r="J399" s="3"/>
      <c r="K399" s="21">
        <f t="shared" si="77"/>
        <v>6</v>
      </c>
      <c r="L399" s="3"/>
      <c r="M399" s="22">
        <f t="shared" si="78"/>
        <v>6</v>
      </c>
      <c r="N399" s="1"/>
      <c r="O399" s="1"/>
      <c r="P399" s="1"/>
      <c r="Q399" s="1"/>
      <c r="R399" s="1"/>
    </row>
    <row r="400" spans="1:20" x14ac:dyDescent="0.2">
      <c r="A400" s="1"/>
      <c r="B400" s="5"/>
      <c r="C400" s="2">
        <v>8</v>
      </c>
      <c r="D400" s="4"/>
      <c r="E400" s="21">
        <v>4</v>
      </c>
      <c r="F400" s="3"/>
      <c r="G400" s="21">
        <f t="shared" si="75"/>
        <v>4</v>
      </c>
      <c r="H400" s="3"/>
      <c r="I400" s="21">
        <f t="shared" si="76"/>
        <v>4</v>
      </c>
      <c r="J400" s="3"/>
      <c r="K400" s="21">
        <f t="shared" si="77"/>
        <v>4</v>
      </c>
      <c r="L400" s="4"/>
      <c r="M400" s="22">
        <f t="shared" si="78"/>
        <v>4</v>
      </c>
      <c r="N400" s="1"/>
      <c r="O400" s="1"/>
      <c r="P400" s="1"/>
      <c r="Q400" s="1"/>
      <c r="R400" s="1"/>
    </row>
    <row r="401" spans="1:18" x14ac:dyDescent="0.2">
      <c r="A401" s="1"/>
      <c r="B401" s="5"/>
      <c r="C401" s="2">
        <v>9</v>
      </c>
      <c r="D401" s="4"/>
      <c r="E401" s="21">
        <v>2</v>
      </c>
      <c r="F401" s="3"/>
      <c r="G401" s="21">
        <f t="shared" si="75"/>
        <v>2</v>
      </c>
      <c r="H401" s="3"/>
      <c r="I401" s="21">
        <f t="shared" si="76"/>
        <v>2</v>
      </c>
      <c r="J401" s="3"/>
      <c r="K401" s="21">
        <f t="shared" si="77"/>
        <v>2</v>
      </c>
      <c r="L401" s="3"/>
      <c r="M401" s="22">
        <f t="shared" si="78"/>
        <v>2</v>
      </c>
      <c r="N401" s="1"/>
      <c r="O401" s="1"/>
      <c r="P401" s="1"/>
      <c r="Q401" s="1"/>
      <c r="R401" s="1"/>
    </row>
    <row r="402" spans="1:18" x14ac:dyDescent="0.2">
      <c r="A402" s="1"/>
      <c r="B402" s="5"/>
      <c r="C402" s="2">
        <v>10</v>
      </c>
      <c r="D402" s="4"/>
      <c r="E402" s="21">
        <v>1</v>
      </c>
      <c r="F402" s="3"/>
      <c r="G402" s="21">
        <f t="shared" si="75"/>
        <v>1</v>
      </c>
      <c r="H402" s="3"/>
      <c r="I402" s="21">
        <f t="shared" si="76"/>
        <v>1</v>
      </c>
      <c r="J402" s="3"/>
      <c r="K402" s="21">
        <f t="shared" si="77"/>
        <v>1</v>
      </c>
      <c r="L402" s="6"/>
      <c r="M402" s="22">
        <f t="shared" si="78"/>
        <v>1</v>
      </c>
      <c r="N402" s="1"/>
      <c r="O402" s="1"/>
      <c r="P402" s="1"/>
      <c r="Q402" s="1"/>
      <c r="R402" s="1"/>
    </row>
    <row r="403" spans="1:18" x14ac:dyDescent="0.2">
      <c r="A403" s="1"/>
      <c r="B403" s="19"/>
      <c r="C403" s="2" t="s">
        <v>4</v>
      </c>
      <c r="D403" s="4"/>
      <c r="E403" s="21">
        <v>1</v>
      </c>
      <c r="F403" s="4"/>
      <c r="G403" s="21">
        <f t="shared" si="75"/>
        <v>1</v>
      </c>
      <c r="H403" s="4"/>
      <c r="I403" s="21">
        <f t="shared" si="76"/>
        <v>1</v>
      </c>
      <c r="J403" s="4"/>
      <c r="K403" s="21">
        <f t="shared" si="77"/>
        <v>1</v>
      </c>
      <c r="L403" s="4"/>
      <c r="M403" s="22">
        <f t="shared" si="78"/>
        <v>1</v>
      </c>
      <c r="N403" s="1"/>
      <c r="O403" s="1"/>
      <c r="P403" s="1"/>
      <c r="Q403" s="1"/>
      <c r="R403" s="1"/>
    </row>
    <row r="404" spans="1:18" x14ac:dyDescent="0.2">
      <c r="A404" s="1"/>
      <c r="B404" s="19"/>
      <c r="C404" s="2" t="s">
        <v>19</v>
      </c>
      <c r="D404" s="4"/>
      <c r="E404" s="21">
        <v>10</v>
      </c>
      <c r="F404" s="3"/>
      <c r="G404" s="21">
        <f t="shared" si="75"/>
        <v>10</v>
      </c>
      <c r="H404" s="3"/>
      <c r="I404" s="21">
        <f t="shared" si="76"/>
        <v>10</v>
      </c>
      <c r="J404" s="3"/>
      <c r="K404" s="21">
        <f t="shared" si="77"/>
        <v>10</v>
      </c>
      <c r="L404" s="3"/>
      <c r="M404" s="22">
        <f t="shared" si="78"/>
        <v>10</v>
      </c>
      <c r="N404" s="1"/>
      <c r="O404" s="1"/>
      <c r="P404" s="1"/>
      <c r="Q404" s="1"/>
      <c r="R404" s="1"/>
    </row>
    <row r="405" spans="1:18" x14ac:dyDescent="0.2">
      <c r="A405" s="1"/>
      <c r="B405" s="15"/>
      <c r="C405" s="16"/>
      <c r="D405" s="17"/>
      <c r="E405" s="20"/>
      <c r="F405" s="15"/>
      <c r="G405" s="20"/>
      <c r="H405" s="15"/>
      <c r="I405" s="20"/>
      <c r="J405" s="15"/>
      <c r="K405" s="20"/>
      <c r="L405" s="18"/>
      <c r="M405" s="20"/>
      <c r="N405" s="1"/>
      <c r="O405" s="1"/>
      <c r="P405" s="1"/>
      <c r="Q405" s="1"/>
      <c r="R405" s="1"/>
    </row>
    <row r="406" spans="1:18" x14ac:dyDescent="0.2">
      <c r="A406" s="1"/>
      <c r="B406" s="39"/>
      <c r="C406" s="40"/>
      <c r="D406" s="40" t="s">
        <v>16</v>
      </c>
      <c r="E406" s="41"/>
      <c r="F406" s="42"/>
      <c r="G406" s="41">
        <f>SUM(G393:G404)</f>
        <v>112</v>
      </c>
      <c r="H406" s="42"/>
      <c r="I406" s="41">
        <f>SUM(I393:I404)</f>
        <v>112</v>
      </c>
      <c r="J406" s="42"/>
      <c r="K406" s="41">
        <f>SUM(K393:K404)</f>
        <v>112</v>
      </c>
      <c r="L406" s="43"/>
      <c r="M406" s="41">
        <f>SUM(M393:M404)</f>
        <v>112</v>
      </c>
      <c r="N406" s="1"/>
      <c r="O406" s="1"/>
      <c r="P406" s="1"/>
      <c r="Q406" s="1"/>
      <c r="R406" s="1"/>
    </row>
    <row r="407" spans="1:18" x14ac:dyDescent="0.2">
      <c r="A407" s="1"/>
      <c r="B407" s="39"/>
      <c r="C407" s="40"/>
      <c r="D407" s="40" t="s">
        <v>5</v>
      </c>
      <c r="E407" s="41"/>
      <c r="F407" s="42"/>
      <c r="G407" s="41">
        <f>G406+G387</f>
        <v>509</v>
      </c>
      <c r="H407" s="42"/>
      <c r="I407" s="41">
        <f>I406+I387</f>
        <v>581</v>
      </c>
      <c r="J407" s="42"/>
      <c r="K407" s="41">
        <f>K406+K387</f>
        <v>555</v>
      </c>
      <c r="L407" s="43"/>
      <c r="M407" s="41">
        <f>M406+M387</f>
        <v>597</v>
      </c>
      <c r="N407" s="1"/>
      <c r="O407" s="1"/>
      <c r="P407" s="1"/>
      <c r="Q407" s="1"/>
      <c r="R407" s="1"/>
    </row>
    <row r="408" spans="1:18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4" x14ac:dyDescent="0.3">
      <c r="A409" s="1"/>
      <c r="B409" s="53" t="s">
        <v>46</v>
      </c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1"/>
      <c r="O409" s="1"/>
      <c r="P409" s="1"/>
      <c r="Q409" s="1"/>
      <c r="R409" s="1"/>
    </row>
    <row r="410" spans="1:18" ht="19" x14ac:dyDescent="0.25">
      <c r="A410" s="1"/>
      <c r="B410" s="34"/>
      <c r="C410" s="35"/>
      <c r="D410" s="35"/>
      <c r="E410" s="36"/>
      <c r="F410" s="51" t="s">
        <v>0</v>
      </c>
      <c r="G410" s="52"/>
      <c r="H410" s="51" t="s">
        <v>1</v>
      </c>
      <c r="I410" s="52"/>
      <c r="J410" s="51" t="s">
        <v>2</v>
      </c>
      <c r="K410" s="52"/>
      <c r="L410" s="51" t="s">
        <v>3</v>
      </c>
      <c r="M410" s="52"/>
      <c r="N410" s="1"/>
      <c r="O410" s="1"/>
      <c r="P410" s="1"/>
      <c r="Q410" s="1"/>
      <c r="R410" s="1"/>
    </row>
    <row r="411" spans="1:18" ht="19" x14ac:dyDescent="0.25">
      <c r="A411" s="1"/>
      <c r="B411" s="49" t="s">
        <v>7</v>
      </c>
      <c r="C411" s="50"/>
      <c r="D411" s="50"/>
      <c r="E411" s="37" t="s">
        <v>6</v>
      </c>
      <c r="F411" s="38" t="s">
        <v>7</v>
      </c>
      <c r="G411" s="37" t="s">
        <v>6</v>
      </c>
      <c r="H411" s="38" t="s">
        <v>7</v>
      </c>
      <c r="I411" s="37" t="s">
        <v>6</v>
      </c>
      <c r="J411" s="38" t="s">
        <v>7</v>
      </c>
      <c r="K411" s="37" t="s">
        <v>6</v>
      </c>
      <c r="L411" s="38" t="s">
        <v>7</v>
      </c>
      <c r="M411" s="37" t="s">
        <v>6</v>
      </c>
      <c r="N411" s="1"/>
      <c r="O411" s="1"/>
      <c r="P411" s="1"/>
      <c r="Q411" s="1"/>
      <c r="R411" s="1"/>
    </row>
    <row r="412" spans="1:18" x14ac:dyDescent="0.2">
      <c r="A412" s="1"/>
      <c r="B412" s="9"/>
      <c r="C412" s="10"/>
      <c r="D412" s="11"/>
      <c r="E412" s="12"/>
      <c r="F412" s="13"/>
      <c r="G412" s="12"/>
      <c r="H412" s="13"/>
      <c r="I412" s="12"/>
      <c r="J412" s="13"/>
      <c r="K412" s="12"/>
      <c r="L412" s="14"/>
      <c r="M412" s="12"/>
      <c r="N412" s="1"/>
      <c r="O412" s="1"/>
      <c r="P412" s="1"/>
      <c r="Q412" s="1"/>
      <c r="R412" s="1"/>
    </row>
    <row r="413" spans="1:18" x14ac:dyDescent="0.2">
      <c r="A413" s="1"/>
      <c r="B413" s="5"/>
      <c r="C413" s="2">
        <v>1</v>
      </c>
      <c r="D413" s="4"/>
      <c r="E413" s="21">
        <v>25</v>
      </c>
      <c r="F413" s="4"/>
      <c r="G413" s="21">
        <f>IF(F413=$D413,$E413,0)</f>
        <v>25</v>
      </c>
      <c r="H413" s="4"/>
      <c r="I413" s="21">
        <f>IF(H413=$D413,$E413,0)</f>
        <v>25</v>
      </c>
      <c r="J413" s="4"/>
      <c r="K413" s="21">
        <f>IF(J413=$D413,$E413,0)</f>
        <v>25</v>
      </c>
      <c r="L413" s="4"/>
      <c r="M413" s="22">
        <f>IF(L413=$D413,$E413,0)</f>
        <v>25</v>
      </c>
      <c r="N413" s="1"/>
      <c r="O413" s="1"/>
      <c r="P413" s="1"/>
      <c r="Q413" s="1"/>
      <c r="R413" s="1"/>
    </row>
    <row r="414" spans="1:18" x14ac:dyDescent="0.2">
      <c r="A414" s="1"/>
      <c r="B414" s="5"/>
      <c r="C414" s="2">
        <v>2</v>
      </c>
      <c r="D414" s="4"/>
      <c r="E414" s="21">
        <v>18</v>
      </c>
      <c r="F414" s="3"/>
      <c r="G414" s="21">
        <f t="shared" ref="G414:G424" si="79">IF(F414=$D414,$E414,0)</f>
        <v>18</v>
      </c>
      <c r="H414" s="3"/>
      <c r="I414" s="21">
        <f t="shared" ref="I414:I424" si="80">IF(H414=$D414,$E414,0)</f>
        <v>18</v>
      </c>
      <c r="J414" s="3"/>
      <c r="K414" s="21">
        <f t="shared" ref="K414:K424" si="81">IF(J414=$D414,$E414,0)</f>
        <v>18</v>
      </c>
      <c r="L414" s="3"/>
      <c r="M414" s="22">
        <f t="shared" ref="M414:M424" si="82">IF(L414=$D414,$E414,0)</f>
        <v>18</v>
      </c>
      <c r="N414" s="1"/>
      <c r="O414" s="1"/>
      <c r="P414" s="1"/>
      <c r="Q414" s="1"/>
      <c r="R414" s="1"/>
    </row>
    <row r="415" spans="1:18" x14ac:dyDescent="0.2">
      <c r="A415" s="1"/>
      <c r="B415" s="5"/>
      <c r="C415" s="2">
        <v>3</v>
      </c>
      <c r="D415" s="4"/>
      <c r="E415" s="21">
        <v>15</v>
      </c>
      <c r="F415" s="3"/>
      <c r="G415" s="21">
        <f t="shared" si="79"/>
        <v>15</v>
      </c>
      <c r="H415" s="3"/>
      <c r="I415" s="21">
        <f t="shared" si="80"/>
        <v>15</v>
      </c>
      <c r="J415" s="3"/>
      <c r="K415" s="21">
        <f t="shared" si="81"/>
        <v>15</v>
      </c>
      <c r="L415" s="3"/>
      <c r="M415" s="22">
        <f t="shared" si="82"/>
        <v>15</v>
      </c>
      <c r="N415" s="1"/>
      <c r="O415" s="1"/>
      <c r="P415" s="1"/>
      <c r="Q415" s="1"/>
      <c r="R415" s="1"/>
    </row>
    <row r="416" spans="1:18" x14ac:dyDescent="0.2">
      <c r="A416" s="1"/>
      <c r="B416" s="5"/>
      <c r="C416" s="2">
        <v>4</v>
      </c>
      <c r="D416" s="4"/>
      <c r="E416" s="21">
        <v>12</v>
      </c>
      <c r="F416" s="3"/>
      <c r="G416" s="21">
        <f t="shared" si="79"/>
        <v>12</v>
      </c>
      <c r="H416" s="3"/>
      <c r="I416" s="21">
        <f t="shared" si="80"/>
        <v>12</v>
      </c>
      <c r="J416" s="3"/>
      <c r="K416" s="21">
        <f t="shared" si="81"/>
        <v>12</v>
      </c>
      <c r="L416" s="3"/>
      <c r="M416" s="22">
        <f t="shared" si="82"/>
        <v>12</v>
      </c>
      <c r="N416" s="1"/>
      <c r="O416" s="1"/>
      <c r="P416" s="1"/>
      <c r="Q416" s="1"/>
      <c r="R416" s="1"/>
    </row>
    <row r="417" spans="1:20" x14ac:dyDescent="0.2">
      <c r="A417" s="1"/>
      <c r="B417" s="5"/>
      <c r="C417" s="2">
        <v>5</v>
      </c>
      <c r="D417" s="4"/>
      <c r="E417" s="21">
        <v>10</v>
      </c>
      <c r="F417" s="3"/>
      <c r="G417" s="21">
        <f t="shared" si="79"/>
        <v>10</v>
      </c>
      <c r="H417" s="3"/>
      <c r="I417" s="21">
        <f t="shared" si="80"/>
        <v>10</v>
      </c>
      <c r="J417" s="3"/>
      <c r="K417" s="21">
        <f t="shared" si="81"/>
        <v>10</v>
      </c>
      <c r="L417" s="3"/>
      <c r="M417" s="22">
        <f t="shared" si="82"/>
        <v>10</v>
      </c>
      <c r="N417" s="1"/>
      <c r="O417" s="1"/>
      <c r="P417" s="1"/>
      <c r="Q417" s="1"/>
      <c r="R417" s="1"/>
    </row>
    <row r="418" spans="1:20" x14ac:dyDescent="0.2">
      <c r="A418" s="1"/>
      <c r="B418" s="5"/>
      <c r="C418" s="2">
        <v>6</v>
      </c>
      <c r="D418" s="4"/>
      <c r="E418" s="21">
        <v>8</v>
      </c>
      <c r="F418" s="3"/>
      <c r="G418" s="21">
        <f t="shared" si="79"/>
        <v>8</v>
      </c>
      <c r="H418" s="3"/>
      <c r="I418" s="21">
        <f t="shared" si="80"/>
        <v>8</v>
      </c>
      <c r="J418" s="3"/>
      <c r="K418" s="21">
        <f t="shared" si="81"/>
        <v>8</v>
      </c>
      <c r="L418" s="3"/>
      <c r="M418" s="22">
        <f t="shared" si="82"/>
        <v>8</v>
      </c>
      <c r="N418" s="1"/>
      <c r="O418" s="1"/>
      <c r="P418" s="1"/>
      <c r="Q418" s="1"/>
      <c r="R418" s="1"/>
    </row>
    <row r="419" spans="1:20" x14ac:dyDescent="0.2">
      <c r="A419" s="1"/>
      <c r="B419" s="5"/>
      <c r="C419" s="2">
        <v>7</v>
      </c>
      <c r="D419" s="4"/>
      <c r="E419" s="21">
        <v>6</v>
      </c>
      <c r="F419" s="3"/>
      <c r="G419" s="21">
        <f t="shared" si="79"/>
        <v>6</v>
      </c>
      <c r="H419" s="3"/>
      <c r="I419" s="21">
        <f t="shared" si="80"/>
        <v>6</v>
      </c>
      <c r="J419" s="3"/>
      <c r="K419" s="21">
        <f t="shared" si="81"/>
        <v>6</v>
      </c>
      <c r="L419" s="3"/>
      <c r="M419" s="22">
        <f t="shared" si="82"/>
        <v>6</v>
      </c>
      <c r="N419" s="1"/>
      <c r="O419" s="1"/>
      <c r="P419" s="1"/>
      <c r="Q419" s="1"/>
      <c r="R419" s="1"/>
    </row>
    <row r="420" spans="1:20" x14ac:dyDescent="0.2">
      <c r="A420" s="1"/>
      <c r="B420" s="5"/>
      <c r="C420" s="2">
        <v>8</v>
      </c>
      <c r="D420" s="4"/>
      <c r="E420" s="21">
        <v>4</v>
      </c>
      <c r="F420" s="3"/>
      <c r="G420" s="21">
        <f t="shared" si="79"/>
        <v>4</v>
      </c>
      <c r="H420" s="3"/>
      <c r="I420" s="21">
        <f t="shared" si="80"/>
        <v>4</v>
      </c>
      <c r="J420" s="3"/>
      <c r="K420" s="21">
        <f t="shared" si="81"/>
        <v>4</v>
      </c>
      <c r="L420" s="4"/>
      <c r="M420" s="22">
        <f t="shared" si="82"/>
        <v>4</v>
      </c>
      <c r="N420" s="1"/>
      <c r="O420" s="1"/>
      <c r="P420" s="1"/>
      <c r="Q420" s="1"/>
      <c r="R420" s="1"/>
    </row>
    <row r="421" spans="1:20" x14ac:dyDescent="0.2">
      <c r="A421" s="1"/>
      <c r="B421" s="5"/>
      <c r="C421" s="2">
        <v>9</v>
      </c>
      <c r="D421" s="4"/>
      <c r="E421" s="21">
        <v>2</v>
      </c>
      <c r="F421" s="3"/>
      <c r="G421" s="21">
        <f t="shared" si="79"/>
        <v>2</v>
      </c>
      <c r="H421" s="3"/>
      <c r="I421" s="21">
        <f t="shared" si="80"/>
        <v>2</v>
      </c>
      <c r="J421" s="3"/>
      <c r="K421" s="21">
        <f t="shared" si="81"/>
        <v>2</v>
      </c>
      <c r="L421" s="3"/>
      <c r="M421" s="22">
        <f t="shared" si="82"/>
        <v>2</v>
      </c>
      <c r="N421" s="1"/>
      <c r="O421" s="1"/>
      <c r="P421" s="1"/>
      <c r="Q421" s="1"/>
      <c r="R421" s="1"/>
    </row>
    <row r="422" spans="1:20" x14ac:dyDescent="0.2">
      <c r="A422" s="1"/>
      <c r="B422" s="5"/>
      <c r="C422" s="2">
        <v>10</v>
      </c>
      <c r="D422" s="4"/>
      <c r="E422" s="21">
        <v>1</v>
      </c>
      <c r="F422" s="3"/>
      <c r="G422" s="21">
        <f t="shared" si="79"/>
        <v>1</v>
      </c>
      <c r="H422" s="3"/>
      <c r="I422" s="21">
        <f t="shared" si="80"/>
        <v>1</v>
      </c>
      <c r="J422" s="3"/>
      <c r="K422" s="21">
        <f t="shared" si="81"/>
        <v>1</v>
      </c>
      <c r="L422" s="6"/>
      <c r="M422" s="22">
        <f t="shared" si="82"/>
        <v>1</v>
      </c>
      <c r="N422" s="1"/>
      <c r="O422" s="1"/>
      <c r="P422" s="1"/>
      <c r="Q422" s="1"/>
      <c r="R422" s="1"/>
    </row>
    <row r="423" spans="1:20" x14ac:dyDescent="0.2">
      <c r="A423" s="1"/>
      <c r="B423" s="19"/>
      <c r="C423" s="2" t="s">
        <v>4</v>
      </c>
      <c r="D423" s="4"/>
      <c r="E423" s="21">
        <v>1</v>
      </c>
      <c r="F423" s="4"/>
      <c r="G423" s="21">
        <f t="shared" si="79"/>
        <v>1</v>
      </c>
      <c r="H423" s="4"/>
      <c r="I423" s="21">
        <f t="shared" si="80"/>
        <v>1</v>
      </c>
      <c r="J423" s="4"/>
      <c r="K423" s="21">
        <f t="shared" si="81"/>
        <v>1</v>
      </c>
      <c r="L423" s="4"/>
      <c r="M423" s="22">
        <f t="shared" si="82"/>
        <v>1</v>
      </c>
      <c r="N423" s="1"/>
      <c r="O423" s="1"/>
      <c r="P423" s="1"/>
      <c r="Q423" s="1"/>
      <c r="R423" s="1"/>
    </row>
    <row r="424" spans="1:20" x14ac:dyDescent="0.2">
      <c r="A424" s="1"/>
      <c r="B424" s="19"/>
      <c r="C424" s="2" t="s">
        <v>19</v>
      </c>
      <c r="D424" s="4"/>
      <c r="E424" s="21">
        <v>10</v>
      </c>
      <c r="F424" s="3"/>
      <c r="G424" s="21">
        <f t="shared" si="79"/>
        <v>10</v>
      </c>
      <c r="H424" s="3"/>
      <c r="I424" s="21">
        <f t="shared" si="80"/>
        <v>10</v>
      </c>
      <c r="J424" s="3"/>
      <c r="K424" s="21">
        <f t="shared" si="81"/>
        <v>10</v>
      </c>
      <c r="L424" s="3"/>
      <c r="M424" s="22">
        <f t="shared" si="82"/>
        <v>10</v>
      </c>
      <c r="N424" s="1"/>
      <c r="O424" s="1"/>
      <c r="P424" s="1"/>
      <c r="Q424" s="1"/>
      <c r="R424" s="1"/>
    </row>
    <row r="425" spans="1:20" x14ac:dyDescent="0.2">
      <c r="A425" s="1"/>
      <c r="B425" s="15"/>
      <c r="C425" s="16"/>
      <c r="D425" s="17"/>
      <c r="E425" s="20"/>
      <c r="F425" s="15"/>
      <c r="G425" s="20"/>
      <c r="H425" s="15"/>
      <c r="I425" s="20"/>
      <c r="J425" s="15"/>
      <c r="K425" s="20"/>
      <c r="L425" s="18"/>
      <c r="M425" s="20"/>
      <c r="N425" s="1"/>
      <c r="O425" s="1"/>
      <c r="P425" s="1"/>
      <c r="Q425" s="1"/>
      <c r="R425" s="1"/>
    </row>
    <row r="426" spans="1:20" x14ac:dyDescent="0.2">
      <c r="A426" s="1"/>
      <c r="B426" s="39"/>
      <c r="C426" s="40"/>
      <c r="D426" s="40" t="s">
        <v>16</v>
      </c>
      <c r="E426" s="41"/>
      <c r="F426" s="42"/>
      <c r="G426" s="41">
        <f>SUM(G413:G424)</f>
        <v>112</v>
      </c>
      <c r="H426" s="42"/>
      <c r="I426" s="41">
        <f>SUM(I413:I424)</f>
        <v>112</v>
      </c>
      <c r="J426" s="42"/>
      <c r="K426" s="41">
        <f>SUM(K413:K424)</f>
        <v>112</v>
      </c>
      <c r="L426" s="43"/>
      <c r="M426" s="41">
        <f>SUM(M413:M424)</f>
        <v>112</v>
      </c>
      <c r="N426" s="1"/>
      <c r="O426" s="1"/>
      <c r="P426" s="1"/>
      <c r="Q426" s="1"/>
      <c r="R426" s="1"/>
    </row>
    <row r="427" spans="1:20" x14ac:dyDescent="0.2">
      <c r="A427" s="1"/>
      <c r="B427" s="39"/>
      <c r="C427" s="40"/>
      <c r="D427" s="40" t="s">
        <v>5</v>
      </c>
      <c r="E427" s="41"/>
      <c r="F427" s="42"/>
      <c r="G427" s="41">
        <f>G426+G407</f>
        <v>621</v>
      </c>
      <c r="H427" s="42"/>
      <c r="I427" s="41">
        <f>I426+I407</f>
        <v>693</v>
      </c>
      <c r="J427" s="42"/>
      <c r="K427" s="41">
        <f>K426+K407</f>
        <v>667</v>
      </c>
      <c r="L427" s="43"/>
      <c r="M427" s="41">
        <f>M426+M407</f>
        <v>709</v>
      </c>
      <c r="N427" s="1"/>
      <c r="O427" s="1"/>
      <c r="P427" s="1"/>
      <c r="Q427" s="1"/>
      <c r="R427" s="1"/>
    </row>
    <row r="428" spans="1:20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24" x14ac:dyDescent="0.3">
      <c r="A429" s="1"/>
      <c r="B429" s="53" t="s">
        <v>47</v>
      </c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1"/>
      <c r="O429" s="1"/>
      <c r="P429" s="1"/>
      <c r="Q429" s="1"/>
      <c r="R429" s="1"/>
    </row>
    <row r="430" spans="1:20" ht="19" x14ac:dyDescent="0.25">
      <c r="A430" s="1"/>
      <c r="B430" s="34"/>
      <c r="C430" s="35"/>
      <c r="D430" s="35"/>
      <c r="E430" s="36"/>
      <c r="F430" s="51" t="s">
        <v>0</v>
      </c>
      <c r="G430" s="52"/>
      <c r="H430" s="51" t="s">
        <v>1</v>
      </c>
      <c r="I430" s="52"/>
      <c r="J430" s="51" t="s">
        <v>2</v>
      </c>
      <c r="K430" s="52"/>
      <c r="L430" s="51" t="s">
        <v>3</v>
      </c>
      <c r="M430" s="52"/>
      <c r="N430" s="1"/>
      <c r="O430" s="1"/>
      <c r="P430" s="1"/>
      <c r="Q430" s="1"/>
      <c r="R430" s="1"/>
    </row>
    <row r="431" spans="1:20" ht="19" x14ac:dyDescent="0.25">
      <c r="A431" s="1"/>
      <c r="B431" s="49" t="s">
        <v>7</v>
      </c>
      <c r="C431" s="50"/>
      <c r="D431" s="50"/>
      <c r="E431" s="37" t="s">
        <v>6</v>
      </c>
      <c r="F431" s="38" t="s">
        <v>7</v>
      </c>
      <c r="G431" s="37" t="s">
        <v>6</v>
      </c>
      <c r="H431" s="38" t="s">
        <v>7</v>
      </c>
      <c r="I431" s="37" t="s">
        <v>6</v>
      </c>
      <c r="J431" s="38" t="s">
        <v>7</v>
      </c>
      <c r="K431" s="37" t="s">
        <v>6</v>
      </c>
      <c r="L431" s="38" t="s">
        <v>7</v>
      </c>
      <c r="M431" s="37" t="s">
        <v>6</v>
      </c>
      <c r="N431" s="1"/>
      <c r="O431" s="1"/>
      <c r="P431" s="1"/>
      <c r="Q431" s="1"/>
      <c r="R431" s="1"/>
    </row>
    <row r="432" spans="1:20" x14ac:dyDescent="0.2">
      <c r="A432" s="1"/>
      <c r="B432" s="9"/>
      <c r="C432" s="10"/>
      <c r="D432" s="11"/>
      <c r="E432" s="12"/>
      <c r="F432" s="13"/>
      <c r="G432" s="12"/>
      <c r="H432" s="13"/>
      <c r="I432" s="12"/>
      <c r="J432" s="13"/>
      <c r="K432" s="12"/>
      <c r="L432" s="14"/>
      <c r="M432" s="12"/>
      <c r="N432" s="1"/>
      <c r="O432" s="1"/>
      <c r="P432" s="1"/>
      <c r="Q432" s="1"/>
      <c r="R432" s="1"/>
    </row>
    <row r="433" spans="1:18" x14ac:dyDescent="0.2">
      <c r="A433" s="1"/>
      <c r="B433" s="5"/>
      <c r="C433" s="2">
        <v>1</v>
      </c>
      <c r="D433" s="4"/>
      <c r="E433" s="21">
        <v>25</v>
      </c>
      <c r="F433" s="4"/>
      <c r="G433" s="21">
        <f>IF(F433=$D433,$E433,0)</f>
        <v>25</v>
      </c>
      <c r="H433" s="4"/>
      <c r="I433" s="21">
        <f>IF(H433=$D433,$E433,0)</f>
        <v>25</v>
      </c>
      <c r="J433" s="4"/>
      <c r="K433" s="21">
        <f>IF(J433=$D433,$E433,0)</f>
        <v>25</v>
      </c>
      <c r="L433" s="4"/>
      <c r="M433" s="22">
        <f>IF(L433=$D433,$E433,0)</f>
        <v>25</v>
      </c>
      <c r="N433" s="1"/>
      <c r="O433" s="1"/>
      <c r="P433" s="1"/>
      <c r="Q433" s="1"/>
      <c r="R433" s="1"/>
    </row>
    <row r="434" spans="1:18" x14ac:dyDescent="0.2">
      <c r="A434" s="1"/>
      <c r="B434" s="5"/>
      <c r="C434" s="2">
        <v>2</v>
      </c>
      <c r="D434" s="4"/>
      <c r="E434" s="21">
        <v>18</v>
      </c>
      <c r="F434" s="3"/>
      <c r="G434" s="21">
        <f t="shared" ref="G434:G444" si="83">IF(F434=$D434,$E434,0)</f>
        <v>18</v>
      </c>
      <c r="H434" s="3"/>
      <c r="I434" s="21">
        <f t="shared" ref="I434:I444" si="84">IF(H434=$D434,$E434,0)</f>
        <v>18</v>
      </c>
      <c r="J434" s="3"/>
      <c r="K434" s="21">
        <f t="shared" ref="K434:K444" si="85">IF(J434=$D434,$E434,0)</f>
        <v>18</v>
      </c>
      <c r="L434" s="3"/>
      <c r="M434" s="22">
        <f t="shared" ref="M434:M444" si="86">IF(L434=$D434,$E434,0)</f>
        <v>18</v>
      </c>
      <c r="N434" s="1"/>
      <c r="O434" s="1"/>
      <c r="P434" s="1"/>
      <c r="Q434" s="1"/>
      <c r="R434" s="1"/>
    </row>
    <row r="435" spans="1:18" x14ac:dyDescent="0.2">
      <c r="A435" s="1"/>
      <c r="B435" s="5"/>
      <c r="C435" s="2">
        <v>3</v>
      </c>
      <c r="D435" s="4"/>
      <c r="E435" s="21">
        <v>15</v>
      </c>
      <c r="F435" s="3"/>
      <c r="G435" s="21">
        <f t="shared" si="83"/>
        <v>15</v>
      </c>
      <c r="H435" s="3"/>
      <c r="I435" s="21">
        <f t="shared" si="84"/>
        <v>15</v>
      </c>
      <c r="J435" s="3"/>
      <c r="K435" s="21">
        <f t="shared" si="85"/>
        <v>15</v>
      </c>
      <c r="L435" s="3"/>
      <c r="M435" s="22">
        <f t="shared" si="86"/>
        <v>15</v>
      </c>
      <c r="N435" s="1"/>
      <c r="O435" s="1"/>
      <c r="P435" s="1"/>
      <c r="Q435" s="1"/>
      <c r="R435" s="1"/>
    </row>
    <row r="436" spans="1:18" x14ac:dyDescent="0.2">
      <c r="A436" s="1"/>
      <c r="B436" s="5"/>
      <c r="C436" s="2">
        <v>4</v>
      </c>
      <c r="D436" s="4"/>
      <c r="E436" s="21">
        <v>12</v>
      </c>
      <c r="F436" s="3"/>
      <c r="G436" s="21">
        <f t="shared" si="83"/>
        <v>12</v>
      </c>
      <c r="H436" s="3"/>
      <c r="I436" s="21">
        <f t="shared" si="84"/>
        <v>12</v>
      </c>
      <c r="J436" s="3"/>
      <c r="K436" s="21">
        <f t="shared" si="85"/>
        <v>12</v>
      </c>
      <c r="L436" s="3"/>
      <c r="M436" s="22">
        <f t="shared" si="86"/>
        <v>12</v>
      </c>
      <c r="N436" s="1"/>
      <c r="O436" s="1"/>
      <c r="P436" s="1"/>
      <c r="Q436" s="1"/>
      <c r="R436" s="1"/>
    </row>
    <row r="437" spans="1:18" x14ac:dyDescent="0.2">
      <c r="A437" s="1"/>
      <c r="B437" s="5"/>
      <c r="C437" s="2">
        <v>5</v>
      </c>
      <c r="D437" s="4"/>
      <c r="E437" s="21">
        <v>10</v>
      </c>
      <c r="F437" s="3"/>
      <c r="G437" s="21">
        <f t="shared" si="83"/>
        <v>10</v>
      </c>
      <c r="H437" s="3"/>
      <c r="I437" s="21">
        <f t="shared" si="84"/>
        <v>10</v>
      </c>
      <c r="J437" s="3"/>
      <c r="K437" s="21">
        <f t="shared" si="85"/>
        <v>10</v>
      </c>
      <c r="L437" s="3"/>
      <c r="M437" s="22">
        <f t="shared" si="86"/>
        <v>10</v>
      </c>
      <c r="N437" s="1"/>
      <c r="O437" s="1"/>
      <c r="P437" s="1"/>
      <c r="Q437" s="1"/>
      <c r="R437" s="1"/>
    </row>
    <row r="438" spans="1:18" x14ac:dyDescent="0.2">
      <c r="A438" s="1"/>
      <c r="B438" s="5"/>
      <c r="C438" s="2">
        <v>6</v>
      </c>
      <c r="D438" s="4"/>
      <c r="E438" s="21">
        <v>8</v>
      </c>
      <c r="F438" s="3"/>
      <c r="G438" s="21">
        <f t="shared" si="83"/>
        <v>8</v>
      </c>
      <c r="H438" s="3"/>
      <c r="I438" s="21">
        <f t="shared" si="84"/>
        <v>8</v>
      </c>
      <c r="J438" s="3"/>
      <c r="K438" s="21">
        <f t="shared" si="85"/>
        <v>8</v>
      </c>
      <c r="L438" s="3"/>
      <c r="M438" s="22">
        <f t="shared" si="86"/>
        <v>8</v>
      </c>
      <c r="N438" s="1"/>
      <c r="O438" s="1"/>
      <c r="P438" s="1"/>
      <c r="Q438" s="1"/>
      <c r="R438" s="1"/>
    </row>
    <row r="439" spans="1:18" x14ac:dyDescent="0.2">
      <c r="A439" s="1"/>
      <c r="B439" s="5"/>
      <c r="C439" s="2">
        <v>7</v>
      </c>
      <c r="D439" s="4"/>
      <c r="E439" s="21">
        <v>6</v>
      </c>
      <c r="F439" s="3"/>
      <c r="G439" s="21">
        <f t="shared" si="83"/>
        <v>6</v>
      </c>
      <c r="H439" s="3"/>
      <c r="I439" s="21">
        <f t="shared" si="84"/>
        <v>6</v>
      </c>
      <c r="J439" s="3"/>
      <c r="K439" s="21">
        <f t="shared" si="85"/>
        <v>6</v>
      </c>
      <c r="L439" s="3"/>
      <c r="M439" s="22">
        <f t="shared" si="86"/>
        <v>6</v>
      </c>
      <c r="N439" s="1"/>
      <c r="O439" s="1"/>
      <c r="P439" s="1"/>
      <c r="Q439" s="1"/>
      <c r="R439" s="1"/>
    </row>
    <row r="440" spans="1:18" x14ac:dyDescent="0.2">
      <c r="A440" s="1"/>
      <c r="B440" s="5"/>
      <c r="C440" s="2">
        <v>8</v>
      </c>
      <c r="D440" s="4"/>
      <c r="E440" s="21">
        <v>4</v>
      </c>
      <c r="F440" s="3"/>
      <c r="G440" s="21">
        <f t="shared" si="83"/>
        <v>4</v>
      </c>
      <c r="H440" s="3"/>
      <c r="I440" s="21">
        <f t="shared" si="84"/>
        <v>4</v>
      </c>
      <c r="J440" s="3"/>
      <c r="K440" s="21">
        <f t="shared" si="85"/>
        <v>4</v>
      </c>
      <c r="L440" s="4"/>
      <c r="M440" s="22">
        <f t="shared" si="86"/>
        <v>4</v>
      </c>
      <c r="N440" s="1"/>
      <c r="O440" s="1"/>
      <c r="P440" s="1"/>
      <c r="Q440" s="1"/>
      <c r="R440" s="1"/>
    </row>
    <row r="441" spans="1:18" x14ac:dyDescent="0.2">
      <c r="A441" s="1"/>
      <c r="B441" s="5"/>
      <c r="C441" s="2">
        <v>9</v>
      </c>
      <c r="D441" s="4"/>
      <c r="E441" s="21">
        <v>2</v>
      </c>
      <c r="F441" s="3"/>
      <c r="G441" s="21">
        <f t="shared" si="83"/>
        <v>2</v>
      </c>
      <c r="H441" s="3"/>
      <c r="I441" s="21">
        <f t="shared" si="84"/>
        <v>2</v>
      </c>
      <c r="J441" s="3"/>
      <c r="K441" s="21">
        <f t="shared" si="85"/>
        <v>2</v>
      </c>
      <c r="L441" s="3"/>
      <c r="M441" s="22">
        <f t="shared" si="86"/>
        <v>2</v>
      </c>
      <c r="N441" s="1"/>
      <c r="O441" s="1"/>
      <c r="P441" s="1"/>
      <c r="Q441" s="1"/>
      <c r="R441" s="1"/>
    </row>
    <row r="442" spans="1:18" x14ac:dyDescent="0.2">
      <c r="A442" s="1"/>
      <c r="B442" s="5"/>
      <c r="C442" s="2">
        <v>10</v>
      </c>
      <c r="D442" s="4"/>
      <c r="E442" s="21">
        <v>1</v>
      </c>
      <c r="F442" s="3"/>
      <c r="G442" s="21">
        <f t="shared" si="83"/>
        <v>1</v>
      </c>
      <c r="H442" s="3"/>
      <c r="I442" s="21">
        <f t="shared" si="84"/>
        <v>1</v>
      </c>
      <c r="J442" s="3"/>
      <c r="K442" s="21">
        <f t="shared" si="85"/>
        <v>1</v>
      </c>
      <c r="L442" s="6"/>
      <c r="M442" s="22">
        <f t="shared" si="86"/>
        <v>1</v>
      </c>
      <c r="N442" s="1"/>
      <c r="O442" s="1"/>
      <c r="P442" s="1"/>
      <c r="Q442" s="1"/>
      <c r="R442" s="1"/>
    </row>
    <row r="443" spans="1:18" x14ac:dyDescent="0.2">
      <c r="A443" s="1"/>
      <c r="B443" s="19"/>
      <c r="C443" s="2" t="s">
        <v>4</v>
      </c>
      <c r="D443" s="4"/>
      <c r="E443" s="21">
        <v>1</v>
      </c>
      <c r="F443" s="4"/>
      <c r="G443" s="21">
        <f t="shared" si="83"/>
        <v>1</v>
      </c>
      <c r="H443" s="4"/>
      <c r="I443" s="21">
        <f t="shared" si="84"/>
        <v>1</v>
      </c>
      <c r="J443" s="4"/>
      <c r="K443" s="21">
        <f t="shared" si="85"/>
        <v>1</v>
      </c>
      <c r="L443" s="4"/>
      <c r="M443" s="22">
        <f t="shared" si="86"/>
        <v>1</v>
      </c>
      <c r="N443" s="1"/>
      <c r="O443" s="1"/>
      <c r="P443" s="1"/>
      <c r="Q443" s="1"/>
      <c r="R443" s="1"/>
    </row>
    <row r="444" spans="1:18" x14ac:dyDescent="0.2">
      <c r="A444" s="1"/>
      <c r="B444" s="19"/>
      <c r="C444" s="2" t="s">
        <v>19</v>
      </c>
      <c r="D444" s="4"/>
      <c r="E444" s="21">
        <v>10</v>
      </c>
      <c r="F444" s="3"/>
      <c r="G444" s="21">
        <f t="shared" si="83"/>
        <v>10</v>
      </c>
      <c r="H444" s="3"/>
      <c r="I444" s="21">
        <f t="shared" si="84"/>
        <v>10</v>
      </c>
      <c r="J444" s="3"/>
      <c r="K444" s="21">
        <f t="shared" si="85"/>
        <v>10</v>
      </c>
      <c r="L444" s="3"/>
      <c r="M444" s="22">
        <f t="shared" si="86"/>
        <v>10</v>
      </c>
      <c r="N444" s="1"/>
      <c r="O444" s="48"/>
      <c r="P444" s="1"/>
      <c r="Q444" s="1"/>
      <c r="R444" s="1"/>
    </row>
    <row r="445" spans="1:18" x14ac:dyDescent="0.2">
      <c r="A445" s="1"/>
      <c r="B445" s="15"/>
      <c r="C445" s="16"/>
      <c r="D445" s="17"/>
      <c r="E445" s="20"/>
      <c r="F445" s="15"/>
      <c r="G445" s="20"/>
      <c r="H445" s="15"/>
      <c r="I445" s="20"/>
      <c r="J445" s="15"/>
      <c r="K445" s="20"/>
      <c r="L445" s="18"/>
      <c r="M445" s="20"/>
      <c r="N445" s="1"/>
      <c r="O445" s="48"/>
      <c r="P445" s="1"/>
      <c r="Q445" s="1"/>
      <c r="R445" s="1"/>
    </row>
    <row r="446" spans="1:18" x14ac:dyDescent="0.2">
      <c r="A446" s="1"/>
      <c r="B446" s="39"/>
      <c r="C446" s="40"/>
      <c r="D446" s="40" t="s">
        <v>16</v>
      </c>
      <c r="E446" s="41"/>
      <c r="F446" s="42"/>
      <c r="G446" s="41">
        <f>SUM(G433:G444)</f>
        <v>112</v>
      </c>
      <c r="H446" s="42"/>
      <c r="I446" s="41">
        <f>SUM(I433:I444)</f>
        <v>112</v>
      </c>
      <c r="J446" s="42"/>
      <c r="K446" s="41">
        <f>SUM(K433:K444)</f>
        <v>112</v>
      </c>
      <c r="L446" s="43"/>
      <c r="M446" s="41">
        <f>SUM(M433:M444)</f>
        <v>112</v>
      </c>
      <c r="N446" s="1"/>
      <c r="O446" s="1"/>
      <c r="P446" s="1"/>
      <c r="Q446" s="1"/>
      <c r="R446" s="1"/>
    </row>
    <row r="447" spans="1:18" x14ac:dyDescent="0.2">
      <c r="A447" s="1"/>
      <c r="B447" s="39"/>
      <c r="C447" s="40"/>
      <c r="D447" s="40" t="s">
        <v>5</v>
      </c>
      <c r="E447" s="41"/>
      <c r="F447" s="42"/>
      <c r="G447" s="41">
        <f>G446+G427</f>
        <v>733</v>
      </c>
      <c r="H447" s="42"/>
      <c r="I447" s="41">
        <f>I446+I427</f>
        <v>805</v>
      </c>
      <c r="J447" s="42"/>
      <c r="K447" s="41">
        <f>K446+K427</f>
        <v>779</v>
      </c>
      <c r="L447" s="43"/>
      <c r="M447" s="41">
        <f>M446+M427</f>
        <v>821</v>
      </c>
      <c r="N447" s="1"/>
      <c r="O447" s="1"/>
      <c r="P447" s="1"/>
      <c r="Q447" s="1"/>
      <c r="R447" s="1"/>
    </row>
    <row r="448" spans="1:18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24" x14ac:dyDescent="0.3">
      <c r="A449" s="1"/>
      <c r="B449" s="53" t="s">
        <v>48</v>
      </c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1"/>
      <c r="O449" s="1"/>
      <c r="P449" s="1"/>
      <c r="Q449" s="1"/>
    </row>
    <row r="450" spans="1:17" ht="19" x14ac:dyDescent="0.25">
      <c r="A450" s="1"/>
      <c r="B450" s="34"/>
      <c r="C450" s="35"/>
      <c r="D450" s="35"/>
      <c r="E450" s="36"/>
      <c r="F450" s="51" t="s">
        <v>0</v>
      </c>
      <c r="G450" s="52"/>
      <c r="H450" s="51" t="s">
        <v>1</v>
      </c>
      <c r="I450" s="52"/>
      <c r="J450" s="51" t="s">
        <v>2</v>
      </c>
      <c r="K450" s="52"/>
      <c r="L450" s="51" t="s">
        <v>3</v>
      </c>
      <c r="M450" s="52"/>
      <c r="N450" s="1"/>
      <c r="O450" s="1"/>
      <c r="P450" s="1"/>
      <c r="Q450" s="1"/>
    </row>
    <row r="451" spans="1:17" ht="19" x14ac:dyDescent="0.25">
      <c r="A451" s="1"/>
      <c r="B451" s="49" t="s">
        <v>7</v>
      </c>
      <c r="C451" s="50"/>
      <c r="D451" s="50"/>
      <c r="E451" s="37" t="s">
        <v>6</v>
      </c>
      <c r="F451" s="38" t="s">
        <v>7</v>
      </c>
      <c r="G451" s="37" t="s">
        <v>6</v>
      </c>
      <c r="H451" s="38" t="s">
        <v>7</v>
      </c>
      <c r="I451" s="37" t="s">
        <v>6</v>
      </c>
      <c r="J451" s="38" t="s">
        <v>7</v>
      </c>
      <c r="K451" s="37" t="s">
        <v>6</v>
      </c>
      <c r="L451" s="38" t="s">
        <v>7</v>
      </c>
      <c r="M451" s="37" t="s">
        <v>6</v>
      </c>
      <c r="N451" s="1"/>
      <c r="O451" s="1"/>
      <c r="P451" s="1"/>
      <c r="Q451" s="1"/>
    </row>
    <row r="452" spans="1:17" x14ac:dyDescent="0.2">
      <c r="A452" s="1"/>
      <c r="B452" s="9"/>
      <c r="C452" s="10"/>
      <c r="D452" s="11"/>
      <c r="E452" s="12"/>
      <c r="F452" s="13"/>
      <c r="G452" s="12"/>
      <c r="H452" s="13"/>
      <c r="I452" s="12"/>
      <c r="J452" s="13"/>
      <c r="K452" s="12"/>
      <c r="L452" s="14"/>
      <c r="M452" s="12"/>
      <c r="N452" s="1"/>
      <c r="O452" s="1"/>
      <c r="P452" s="1"/>
      <c r="Q452" s="1"/>
    </row>
    <row r="453" spans="1:17" x14ac:dyDescent="0.2">
      <c r="A453" s="1"/>
      <c r="B453" s="5"/>
      <c r="C453" s="2">
        <v>1</v>
      </c>
      <c r="D453" s="4"/>
      <c r="E453" s="21">
        <v>8</v>
      </c>
      <c r="F453" s="3"/>
      <c r="G453" s="21">
        <f>IF(F453=$D453,$E453,0)</f>
        <v>8</v>
      </c>
      <c r="H453" s="3"/>
      <c r="I453" s="21">
        <f>IF(H453=$D453,$E453,0)</f>
        <v>8</v>
      </c>
      <c r="J453" s="3"/>
      <c r="K453" s="21">
        <f>IF(J453=$D453,$E453,0)</f>
        <v>8</v>
      </c>
      <c r="L453" s="3"/>
      <c r="M453" s="22">
        <f>IF(L453=$D453,$E453,0)</f>
        <v>8</v>
      </c>
      <c r="N453" s="1"/>
      <c r="O453" s="1"/>
      <c r="P453" s="1"/>
      <c r="Q453" s="1"/>
    </row>
    <row r="454" spans="1:17" x14ac:dyDescent="0.2">
      <c r="A454" s="1"/>
      <c r="B454" s="5"/>
      <c r="C454" s="2">
        <v>2</v>
      </c>
      <c r="D454" s="4"/>
      <c r="E454" s="21">
        <v>7</v>
      </c>
      <c r="F454" s="3"/>
      <c r="G454" s="21">
        <f t="shared" ref="G454:G464" si="87">IF(F454=$D454,$E454,0)</f>
        <v>7</v>
      </c>
      <c r="H454" s="3"/>
      <c r="I454" s="21">
        <f t="shared" ref="I454:I464" si="88">IF(H454=$D454,$E454,0)</f>
        <v>7</v>
      </c>
      <c r="J454" s="3"/>
      <c r="K454" s="21">
        <f t="shared" ref="K454:K463" si="89">IF(J454=$D454,$E454,0)</f>
        <v>7</v>
      </c>
      <c r="L454" s="3"/>
      <c r="M454" s="22">
        <f t="shared" ref="M454:M464" si="90">IF(L454=$D454,$E454,0)</f>
        <v>7</v>
      </c>
      <c r="N454" s="1"/>
      <c r="O454" s="1"/>
      <c r="P454" s="1"/>
      <c r="Q454" s="1"/>
    </row>
    <row r="455" spans="1:17" x14ac:dyDescent="0.2">
      <c r="A455" s="1"/>
      <c r="B455" s="5"/>
      <c r="C455" s="2">
        <v>3</v>
      </c>
      <c r="D455" s="4"/>
      <c r="E455" s="21">
        <v>6</v>
      </c>
      <c r="F455" s="3"/>
      <c r="G455" s="21">
        <f t="shared" si="87"/>
        <v>6</v>
      </c>
      <c r="H455" s="3"/>
      <c r="I455" s="21">
        <f t="shared" si="88"/>
        <v>6</v>
      </c>
      <c r="J455" s="3"/>
      <c r="K455" s="21">
        <f t="shared" si="89"/>
        <v>6</v>
      </c>
      <c r="L455" s="3"/>
      <c r="M455" s="22">
        <f t="shared" si="90"/>
        <v>6</v>
      </c>
      <c r="N455" s="1"/>
      <c r="O455" s="1"/>
      <c r="P455" s="1"/>
      <c r="Q455" s="1"/>
    </row>
    <row r="456" spans="1:17" x14ac:dyDescent="0.2">
      <c r="A456" s="1"/>
      <c r="B456" s="5"/>
      <c r="C456" s="2">
        <v>4</v>
      </c>
      <c r="D456" s="4"/>
      <c r="E456" s="21">
        <v>5</v>
      </c>
      <c r="F456" s="3"/>
      <c r="G456" s="21">
        <f t="shared" si="87"/>
        <v>5</v>
      </c>
      <c r="H456" s="3"/>
      <c r="I456" s="21">
        <f t="shared" si="88"/>
        <v>5</v>
      </c>
      <c r="J456" s="3"/>
      <c r="K456" s="21">
        <f t="shared" si="89"/>
        <v>5</v>
      </c>
      <c r="L456" s="3"/>
      <c r="M456" s="22">
        <f t="shared" si="90"/>
        <v>5</v>
      </c>
      <c r="N456" s="1"/>
      <c r="O456" s="1"/>
      <c r="P456" s="1"/>
      <c r="Q456" s="1"/>
    </row>
    <row r="457" spans="1:17" x14ac:dyDescent="0.2">
      <c r="A457" s="1"/>
      <c r="B457" s="5"/>
      <c r="C457" s="2">
        <v>5</v>
      </c>
      <c r="D457" s="4"/>
      <c r="E457" s="21">
        <v>4</v>
      </c>
      <c r="F457" s="3"/>
      <c r="G457" s="21">
        <f t="shared" si="87"/>
        <v>4</v>
      </c>
      <c r="H457" s="3"/>
      <c r="I457" s="21">
        <f t="shared" si="88"/>
        <v>4</v>
      </c>
      <c r="J457" s="3"/>
      <c r="K457" s="21">
        <f t="shared" si="89"/>
        <v>4</v>
      </c>
      <c r="L457" s="3"/>
      <c r="M457" s="22">
        <f t="shared" si="90"/>
        <v>4</v>
      </c>
      <c r="N457" s="1"/>
      <c r="O457" s="1"/>
      <c r="P457" s="1"/>
      <c r="Q457" s="1"/>
    </row>
    <row r="458" spans="1:17" x14ac:dyDescent="0.2">
      <c r="A458" s="1"/>
      <c r="B458" s="5"/>
      <c r="C458" s="2">
        <v>6</v>
      </c>
      <c r="D458" s="4"/>
      <c r="E458" s="21">
        <v>3</v>
      </c>
      <c r="F458" s="3"/>
      <c r="G458" s="21">
        <f t="shared" si="87"/>
        <v>3</v>
      </c>
      <c r="H458" s="3"/>
      <c r="I458" s="21">
        <f t="shared" si="88"/>
        <v>3</v>
      </c>
      <c r="J458" s="3"/>
      <c r="K458" s="21">
        <f t="shared" si="89"/>
        <v>3</v>
      </c>
      <c r="L458" s="3"/>
      <c r="M458" s="22">
        <f t="shared" si="90"/>
        <v>3</v>
      </c>
      <c r="N458" s="1"/>
      <c r="O458" s="1"/>
      <c r="P458" s="1"/>
      <c r="Q458" s="1"/>
    </row>
    <row r="459" spans="1:17" x14ac:dyDescent="0.2">
      <c r="A459" s="1"/>
      <c r="B459" s="5"/>
      <c r="C459" s="2">
        <v>7</v>
      </c>
      <c r="D459" s="4"/>
      <c r="E459" s="21">
        <v>2</v>
      </c>
      <c r="F459" s="3"/>
      <c r="G459" s="21">
        <f t="shared" si="87"/>
        <v>2</v>
      </c>
      <c r="H459" s="3"/>
      <c r="I459" s="21">
        <f t="shared" si="88"/>
        <v>2</v>
      </c>
      <c r="J459" s="3"/>
      <c r="K459" s="21">
        <f t="shared" si="89"/>
        <v>2</v>
      </c>
      <c r="L459" s="3"/>
      <c r="M459" s="22">
        <f t="shared" si="90"/>
        <v>2</v>
      </c>
      <c r="N459" s="1"/>
      <c r="O459" s="1"/>
      <c r="P459" s="1"/>
      <c r="Q459" s="1"/>
    </row>
    <row r="460" spans="1:17" x14ac:dyDescent="0.2">
      <c r="A460" s="1"/>
      <c r="B460" s="5"/>
      <c r="C460" s="2">
        <v>8</v>
      </c>
      <c r="D460" s="4"/>
      <c r="E460" s="21">
        <v>1</v>
      </c>
      <c r="F460" s="3"/>
      <c r="G460" s="21">
        <f t="shared" si="87"/>
        <v>1</v>
      </c>
      <c r="H460" s="3"/>
      <c r="I460" s="21">
        <f t="shared" si="88"/>
        <v>1</v>
      </c>
      <c r="J460" s="3"/>
      <c r="K460" s="21">
        <f t="shared" si="89"/>
        <v>1</v>
      </c>
      <c r="L460" s="3"/>
      <c r="M460" s="22">
        <f t="shared" si="90"/>
        <v>1</v>
      </c>
      <c r="N460" s="1"/>
      <c r="O460" s="1"/>
      <c r="P460" s="1"/>
      <c r="Q460" s="1"/>
    </row>
    <row r="461" spans="1:17" x14ac:dyDescent="0.2">
      <c r="A461" s="1"/>
      <c r="B461" s="5"/>
      <c r="C461" s="2">
        <v>9</v>
      </c>
      <c r="D461" s="4"/>
      <c r="E461" s="21">
        <v>0</v>
      </c>
      <c r="F461" s="3"/>
      <c r="G461" s="21">
        <f t="shared" si="87"/>
        <v>0</v>
      </c>
      <c r="H461" s="3"/>
      <c r="I461" s="21">
        <f t="shared" si="88"/>
        <v>0</v>
      </c>
      <c r="J461" s="3"/>
      <c r="K461" s="21">
        <f t="shared" si="89"/>
        <v>0</v>
      </c>
      <c r="L461" s="3"/>
      <c r="M461" s="22">
        <f t="shared" si="90"/>
        <v>0</v>
      </c>
      <c r="N461" s="1"/>
      <c r="O461" s="1"/>
      <c r="P461" s="1"/>
      <c r="Q461" s="1"/>
    </row>
    <row r="462" spans="1:17" x14ac:dyDescent="0.2">
      <c r="A462" s="1"/>
      <c r="B462" s="5"/>
      <c r="C462" s="2">
        <v>10</v>
      </c>
      <c r="D462" s="4"/>
      <c r="E462" s="21">
        <v>0</v>
      </c>
      <c r="F462" s="3"/>
      <c r="G462" s="21">
        <f t="shared" si="87"/>
        <v>0</v>
      </c>
      <c r="H462" s="3"/>
      <c r="I462" s="21">
        <f t="shared" si="88"/>
        <v>0</v>
      </c>
      <c r="J462" s="3"/>
      <c r="K462" s="21">
        <f t="shared" si="89"/>
        <v>0</v>
      </c>
      <c r="L462" s="3"/>
      <c r="M462" s="22">
        <f t="shared" si="90"/>
        <v>0</v>
      </c>
      <c r="N462" s="1"/>
      <c r="O462" s="1"/>
      <c r="P462" s="1"/>
      <c r="Q462" s="1"/>
    </row>
    <row r="463" spans="1:17" x14ac:dyDescent="0.2">
      <c r="A463" s="1"/>
      <c r="B463" s="19"/>
      <c r="C463" s="2" t="s">
        <v>4</v>
      </c>
      <c r="D463" s="4"/>
      <c r="E463" s="21">
        <v>0</v>
      </c>
      <c r="F463" s="3"/>
      <c r="G463" s="21">
        <f t="shared" si="87"/>
        <v>0</v>
      </c>
      <c r="H463" s="3"/>
      <c r="I463" s="21">
        <f t="shared" si="88"/>
        <v>0</v>
      </c>
      <c r="J463" s="3"/>
      <c r="K463" s="21">
        <f t="shared" si="89"/>
        <v>0</v>
      </c>
      <c r="L463" s="3"/>
      <c r="M463" s="22">
        <f t="shared" si="90"/>
        <v>0</v>
      </c>
      <c r="N463" s="1"/>
      <c r="O463" s="1"/>
      <c r="P463" s="1"/>
      <c r="Q463" s="1"/>
    </row>
    <row r="464" spans="1:17" x14ac:dyDescent="0.2">
      <c r="A464" s="1"/>
      <c r="B464" s="19"/>
      <c r="C464" s="2" t="s">
        <v>19</v>
      </c>
      <c r="D464" s="4"/>
      <c r="E464" s="21">
        <v>0</v>
      </c>
      <c r="F464" s="3"/>
      <c r="G464" s="21">
        <f t="shared" si="87"/>
        <v>0</v>
      </c>
      <c r="H464" s="3"/>
      <c r="I464" s="21">
        <f t="shared" si="88"/>
        <v>0</v>
      </c>
      <c r="J464" s="3"/>
      <c r="K464" s="21">
        <f>IF(J464=$D464,$E464,0)</f>
        <v>0</v>
      </c>
      <c r="L464" s="3"/>
      <c r="M464" s="22">
        <f t="shared" si="90"/>
        <v>0</v>
      </c>
      <c r="N464" s="1"/>
      <c r="O464" s="1"/>
      <c r="P464" s="1"/>
      <c r="Q464" s="1"/>
    </row>
    <row r="465" spans="1:17" x14ac:dyDescent="0.2">
      <c r="A465" s="1"/>
      <c r="B465" s="15"/>
      <c r="C465" s="16"/>
      <c r="D465" s="17"/>
      <c r="E465" s="20"/>
      <c r="F465" s="15"/>
      <c r="G465" s="20"/>
      <c r="H465" s="15"/>
      <c r="I465" s="20"/>
      <c r="J465" s="15"/>
      <c r="K465" s="20"/>
      <c r="L465" s="18"/>
      <c r="M465" s="20"/>
      <c r="N465" s="1"/>
      <c r="O465" s="1"/>
      <c r="P465" s="1"/>
      <c r="Q465" s="1"/>
    </row>
    <row r="466" spans="1:17" x14ac:dyDescent="0.2">
      <c r="A466" s="1"/>
      <c r="B466" s="39"/>
      <c r="C466" s="40"/>
      <c r="D466" s="40" t="s">
        <v>16</v>
      </c>
      <c r="E466" s="41"/>
      <c r="F466" s="42"/>
      <c r="G466" s="41">
        <f>SUM(G453:G464)</f>
        <v>36</v>
      </c>
      <c r="H466" s="42"/>
      <c r="I466" s="41">
        <f>SUM(I453:I464)</f>
        <v>36</v>
      </c>
      <c r="J466" s="42"/>
      <c r="K466" s="41">
        <f>SUM(K453:K464)</f>
        <v>36</v>
      </c>
      <c r="L466" s="43"/>
      <c r="M466" s="41">
        <f>SUM(M453:M464)</f>
        <v>36</v>
      </c>
      <c r="N466" s="1"/>
      <c r="O466" s="1"/>
      <c r="P466" s="1"/>
      <c r="Q466" s="1"/>
    </row>
    <row r="467" spans="1:17" x14ac:dyDescent="0.2">
      <c r="A467" s="1"/>
      <c r="B467" s="39"/>
      <c r="C467" s="40"/>
      <c r="D467" s="40" t="s">
        <v>5</v>
      </c>
      <c r="E467" s="41"/>
      <c r="F467" s="42"/>
      <c r="G467" s="41">
        <f>G466+G447</f>
        <v>769</v>
      </c>
      <c r="H467" s="42"/>
      <c r="I467" s="41">
        <f>I466+I447</f>
        <v>841</v>
      </c>
      <c r="J467" s="42"/>
      <c r="K467" s="41">
        <f>K466+K447</f>
        <v>815</v>
      </c>
      <c r="L467" s="43"/>
      <c r="M467" s="41">
        <f>M466+M447</f>
        <v>857</v>
      </c>
      <c r="N467" s="1"/>
      <c r="O467" s="1"/>
      <c r="P467" s="1"/>
      <c r="Q467" s="1"/>
    </row>
    <row r="468" spans="1:1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24" x14ac:dyDescent="0.3">
      <c r="A469" s="1"/>
      <c r="B469" s="53" t="s">
        <v>49</v>
      </c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1"/>
      <c r="O469" s="1"/>
      <c r="P469" s="1"/>
      <c r="Q469" s="1"/>
    </row>
    <row r="470" spans="1:17" ht="19" x14ac:dyDescent="0.25">
      <c r="A470" s="1"/>
      <c r="B470" s="34"/>
      <c r="C470" s="35"/>
      <c r="D470" s="35"/>
      <c r="E470" s="36"/>
      <c r="F470" s="51" t="s">
        <v>0</v>
      </c>
      <c r="G470" s="52"/>
      <c r="H470" s="51" t="s">
        <v>1</v>
      </c>
      <c r="I470" s="52"/>
      <c r="J470" s="51" t="s">
        <v>2</v>
      </c>
      <c r="K470" s="52"/>
      <c r="L470" s="51" t="s">
        <v>3</v>
      </c>
      <c r="M470" s="52"/>
      <c r="N470" s="1"/>
      <c r="O470" s="1"/>
      <c r="P470" s="1"/>
      <c r="Q470" s="1"/>
    </row>
    <row r="471" spans="1:17" ht="19" x14ac:dyDescent="0.25">
      <c r="A471" s="1"/>
      <c r="B471" s="49" t="s">
        <v>7</v>
      </c>
      <c r="C471" s="50"/>
      <c r="D471" s="50"/>
      <c r="E471" s="37" t="s">
        <v>6</v>
      </c>
      <c r="F471" s="38" t="s">
        <v>7</v>
      </c>
      <c r="G471" s="37" t="s">
        <v>6</v>
      </c>
      <c r="H471" s="38" t="s">
        <v>7</v>
      </c>
      <c r="I471" s="37" t="s">
        <v>6</v>
      </c>
      <c r="J471" s="38" t="s">
        <v>7</v>
      </c>
      <c r="K471" s="37" t="s">
        <v>6</v>
      </c>
      <c r="L471" s="38" t="s">
        <v>7</v>
      </c>
      <c r="M471" s="37" t="s">
        <v>6</v>
      </c>
      <c r="N471" s="1"/>
      <c r="O471" s="1"/>
      <c r="P471" s="1"/>
      <c r="Q471" s="1"/>
    </row>
    <row r="472" spans="1:17" x14ac:dyDescent="0.2">
      <c r="A472" s="1"/>
      <c r="B472" s="9"/>
      <c r="C472" s="10"/>
      <c r="D472" s="11"/>
      <c r="E472" s="12"/>
      <c r="F472" s="13"/>
      <c r="G472" s="12"/>
      <c r="H472" s="13"/>
      <c r="I472" s="12"/>
      <c r="J472" s="13"/>
      <c r="K472" s="12"/>
      <c r="L472" s="14"/>
      <c r="M472" s="12"/>
      <c r="N472" s="1"/>
      <c r="O472" s="1"/>
      <c r="P472" s="1"/>
      <c r="Q472" s="1"/>
    </row>
    <row r="473" spans="1:17" x14ac:dyDescent="0.2">
      <c r="A473" s="1"/>
      <c r="B473" s="5"/>
      <c r="C473" s="2">
        <v>1</v>
      </c>
      <c r="D473" s="4"/>
      <c r="E473" s="21">
        <v>25</v>
      </c>
      <c r="F473" s="4"/>
      <c r="G473" s="21">
        <f>IF(F473=$D473,$E473,0)</f>
        <v>25</v>
      </c>
      <c r="H473" s="3"/>
      <c r="I473" s="21">
        <f>IF(H473=$D473,$E473,0)</f>
        <v>25</v>
      </c>
      <c r="J473" s="3"/>
      <c r="K473" s="21">
        <f>IF(J473=$D473,$E473,0)</f>
        <v>25</v>
      </c>
      <c r="L473" s="4"/>
      <c r="M473" s="22">
        <f>IF(L473=$D473,$E473,0)</f>
        <v>25</v>
      </c>
      <c r="N473" s="1"/>
      <c r="O473" s="1"/>
      <c r="P473" s="1"/>
      <c r="Q473" s="1"/>
    </row>
    <row r="474" spans="1:17" x14ac:dyDescent="0.2">
      <c r="A474" s="1"/>
      <c r="B474" s="5"/>
      <c r="C474" s="2">
        <v>2</v>
      </c>
      <c r="D474" s="4"/>
      <c r="E474" s="21">
        <v>18</v>
      </c>
      <c r="F474" s="3"/>
      <c r="G474" s="21">
        <f t="shared" ref="G474:G483" si="91">IF(F474=$D474,$E474,0)</f>
        <v>18</v>
      </c>
      <c r="H474" s="4"/>
      <c r="I474" s="21">
        <f t="shared" ref="I474:I484" si="92">IF(H474=$D474,$E474,0)</f>
        <v>18</v>
      </c>
      <c r="J474" s="4"/>
      <c r="K474" s="21">
        <f t="shared" ref="K474:K484" si="93">IF(J474=$D474,$E474,0)</f>
        <v>18</v>
      </c>
      <c r="L474" s="3"/>
      <c r="M474" s="22">
        <f t="shared" ref="M474:M484" si="94">IF(L474=$D474,$E474,0)</f>
        <v>18</v>
      </c>
      <c r="N474" s="1"/>
      <c r="O474" s="1"/>
      <c r="P474" s="1"/>
      <c r="Q474" s="1"/>
    </row>
    <row r="475" spans="1:17" x14ac:dyDescent="0.2">
      <c r="A475" s="1"/>
      <c r="B475" s="5"/>
      <c r="C475" s="2">
        <v>3</v>
      </c>
      <c r="D475" s="4"/>
      <c r="E475" s="21">
        <v>15</v>
      </c>
      <c r="F475" s="3"/>
      <c r="G475" s="21">
        <f t="shared" si="91"/>
        <v>15</v>
      </c>
      <c r="H475" s="3"/>
      <c r="I475" s="21">
        <f t="shared" si="92"/>
        <v>15</v>
      </c>
      <c r="J475" s="3"/>
      <c r="K475" s="21">
        <f t="shared" si="93"/>
        <v>15</v>
      </c>
      <c r="L475" s="3"/>
      <c r="M475" s="22">
        <f t="shared" si="94"/>
        <v>15</v>
      </c>
      <c r="N475" s="1"/>
      <c r="O475" s="1"/>
      <c r="P475" s="1"/>
      <c r="Q475" s="1"/>
    </row>
    <row r="476" spans="1:17" x14ac:dyDescent="0.2">
      <c r="A476" s="1"/>
      <c r="B476" s="5"/>
      <c r="C476" s="2">
        <v>4</v>
      </c>
      <c r="D476" s="4"/>
      <c r="E476" s="21">
        <v>12</v>
      </c>
      <c r="F476" s="3"/>
      <c r="G476" s="21">
        <f t="shared" si="91"/>
        <v>12</v>
      </c>
      <c r="H476" s="3"/>
      <c r="I476" s="21">
        <f t="shared" si="92"/>
        <v>12</v>
      </c>
      <c r="J476" s="3"/>
      <c r="K476" s="21">
        <f t="shared" si="93"/>
        <v>12</v>
      </c>
      <c r="L476" s="3"/>
      <c r="M476" s="22">
        <f t="shared" si="94"/>
        <v>12</v>
      </c>
      <c r="N476" s="1"/>
      <c r="O476" s="1"/>
      <c r="P476" s="1"/>
      <c r="Q476" s="1"/>
    </row>
    <row r="477" spans="1:17" x14ac:dyDescent="0.2">
      <c r="A477" s="1"/>
      <c r="B477" s="5"/>
      <c r="C477" s="2">
        <v>5</v>
      </c>
      <c r="D477" s="4"/>
      <c r="E477" s="21">
        <v>10</v>
      </c>
      <c r="F477" s="3"/>
      <c r="G477" s="21">
        <f t="shared" si="91"/>
        <v>10</v>
      </c>
      <c r="H477" s="3"/>
      <c r="I477" s="21">
        <f t="shared" si="92"/>
        <v>10</v>
      </c>
      <c r="J477" s="3"/>
      <c r="K477" s="21">
        <f t="shared" si="93"/>
        <v>10</v>
      </c>
      <c r="L477" s="3"/>
      <c r="M477" s="22">
        <f t="shared" si="94"/>
        <v>10</v>
      </c>
      <c r="N477" s="1"/>
      <c r="O477" s="1"/>
      <c r="P477" s="1"/>
      <c r="Q477" s="1"/>
    </row>
    <row r="478" spans="1:17" x14ac:dyDescent="0.2">
      <c r="A478" s="1"/>
      <c r="B478" s="5"/>
      <c r="C478" s="2">
        <v>6</v>
      </c>
      <c r="D478" s="4"/>
      <c r="E478" s="21">
        <v>8</v>
      </c>
      <c r="F478" s="3"/>
      <c r="G478" s="21">
        <f t="shared" si="91"/>
        <v>8</v>
      </c>
      <c r="H478" s="3"/>
      <c r="I478" s="21">
        <f t="shared" si="92"/>
        <v>8</v>
      </c>
      <c r="J478" s="3"/>
      <c r="K478" s="21">
        <f t="shared" si="93"/>
        <v>8</v>
      </c>
      <c r="L478" s="3"/>
      <c r="M478" s="22">
        <f t="shared" si="94"/>
        <v>8</v>
      </c>
      <c r="N478" s="1"/>
      <c r="O478" s="1"/>
      <c r="P478" s="1"/>
      <c r="Q478" s="1"/>
    </row>
    <row r="479" spans="1:17" x14ac:dyDescent="0.2">
      <c r="A479" s="1"/>
      <c r="B479" s="5"/>
      <c r="C479" s="2">
        <v>7</v>
      </c>
      <c r="D479" s="4"/>
      <c r="E479" s="21">
        <v>6</v>
      </c>
      <c r="F479" s="3"/>
      <c r="G479" s="21">
        <f t="shared" si="91"/>
        <v>6</v>
      </c>
      <c r="H479" s="3"/>
      <c r="I479" s="21">
        <f t="shared" si="92"/>
        <v>6</v>
      </c>
      <c r="J479" s="3"/>
      <c r="K479" s="21">
        <f t="shared" si="93"/>
        <v>6</v>
      </c>
      <c r="L479" s="3"/>
      <c r="M479" s="22">
        <f t="shared" si="94"/>
        <v>6</v>
      </c>
      <c r="N479" s="1"/>
      <c r="O479" s="1"/>
      <c r="P479" s="1"/>
      <c r="Q479" s="1"/>
    </row>
    <row r="480" spans="1:17" x14ac:dyDescent="0.2">
      <c r="A480" s="1"/>
      <c r="B480" s="5"/>
      <c r="C480" s="2">
        <v>8</v>
      </c>
      <c r="D480" s="4"/>
      <c r="E480" s="21">
        <v>4</v>
      </c>
      <c r="F480" s="3"/>
      <c r="G480" s="21">
        <f t="shared" si="91"/>
        <v>4</v>
      </c>
      <c r="H480" s="3"/>
      <c r="I480" s="21">
        <f t="shared" si="92"/>
        <v>4</v>
      </c>
      <c r="J480" s="3"/>
      <c r="K480" s="21">
        <f t="shared" si="93"/>
        <v>4</v>
      </c>
      <c r="L480" s="4"/>
      <c r="M480" s="22">
        <f t="shared" si="94"/>
        <v>4</v>
      </c>
      <c r="N480" s="1"/>
      <c r="O480" s="1"/>
      <c r="P480" s="1"/>
      <c r="Q480" s="1"/>
    </row>
    <row r="481" spans="1:17" x14ac:dyDescent="0.2">
      <c r="A481" s="1"/>
      <c r="B481" s="5"/>
      <c r="C481" s="2">
        <v>9</v>
      </c>
      <c r="D481" s="4"/>
      <c r="E481" s="21">
        <v>2</v>
      </c>
      <c r="F481" s="3"/>
      <c r="G481" s="21">
        <f t="shared" si="91"/>
        <v>2</v>
      </c>
      <c r="H481" s="3"/>
      <c r="I481" s="21">
        <f t="shared" si="92"/>
        <v>2</v>
      </c>
      <c r="J481" s="3"/>
      <c r="K481" s="21">
        <f t="shared" si="93"/>
        <v>2</v>
      </c>
      <c r="L481" s="3"/>
      <c r="M481" s="22">
        <f t="shared" si="94"/>
        <v>2</v>
      </c>
      <c r="N481" s="1"/>
      <c r="O481" s="1"/>
      <c r="P481" s="1"/>
      <c r="Q481" s="1"/>
    </row>
    <row r="482" spans="1:17" x14ac:dyDescent="0.2">
      <c r="A482" s="1"/>
      <c r="B482" s="5"/>
      <c r="C482" s="2">
        <v>10</v>
      </c>
      <c r="D482" s="4"/>
      <c r="E482" s="21">
        <v>1</v>
      </c>
      <c r="F482" s="3"/>
      <c r="G482" s="21">
        <f t="shared" si="91"/>
        <v>1</v>
      </c>
      <c r="H482" s="3"/>
      <c r="I482" s="21">
        <f t="shared" si="92"/>
        <v>1</v>
      </c>
      <c r="J482" s="3"/>
      <c r="K482" s="21">
        <f t="shared" si="93"/>
        <v>1</v>
      </c>
      <c r="L482" s="6"/>
      <c r="M482" s="22">
        <f t="shared" si="94"/>
        <v>1</v>
      </c>
      <c r="N482" s="1"/>
      <c r="O482" s="1"/>
      <c r="P482" s="1"/>
      <c r="Q482" s="1"/>
    </row>
    <row r="483" spans="1:17" x14ac:dyDescent="0.2">
      <c r="A483" s="1"/>
      <c r="B483" s="19"/>
      <c r="C483" s="2" t="s">
        <v>4</v>
      </c>
      <c r="D483" s="4"/>
      <c r="E483" s="21">
        <v>1</v>
      </c>
      <c r="F483" s="4"/>
      <c r="G483" s="21">
        <f t="shared" si="91"/>
        <v>1</v>
      </c>
      <c r="H483" s="4"/>
      <c r="I483" s="21">
        <f t="shared" si="92"/>
        <v>1</v>
      </c>
      <c r="J483" s="3"/>
      <c r="K483" s="21">
        <f t="shared" si="93"/>
        <v>1</v>
      </c>
      <c r="L483" s="4"/>
      <c r="M483" s="22">
        <f t="shared" si="94"/>
        <v>1</v>
      </c>
      <c r="N483" s="1"/>
      <c r="O483" s="1"/>
      <c r="P483" s="1"/>
      <c r="Q483" s="1"/>
    </row>
    <row r="484" spans="1:17" x14ac:dyDescent="0.2">
      <c r="A484" s="1"/>
      <c r="B484" s="19"/>
      <c r="C484" s="2" t="s">
        <v>19</v>
      </c>
      <c r="D484" s="4"/>
      <c r="E484" s="21">
        <v>10</v>
      </c>
      <c r="F484" s="3"/>
      <c r="G484" s="21">
        <f>IF(F484=$D484,$E484,0)</f>
        <v>10</v>
      </c>
      <c r="H484" s="3"/>
      <c r="I484" s="21">
        <f t="shared" si="92"/>
        <v>10</v>
      </c>
      <c r="J484" s="3"/>
      <c r="K484" s="21">
        <f t="shared" si="93"/>
        <v>10</v>
      </c>
      <c r="L484" s="3"/>
      <c r="M484" s="22">
        <f t="shared" si="94"/>
        <v>10</v>
      </c>
      <c r="N484" s="1"/>
      <c r="O484" s="1"/>
      <c r="P484" s="1"/>
      <c r="Q484" s="1"/>
    </row>
    <row r="485" spans="1:17" x14ac:dyDescent="0.2">
      <c r="A485" s="1"/>
      <c r="B485" s="15"/>
      <c r="C485" s="16"/>
      <c r="D485" s="17"/>
      <c r="E485" s="20"/>
      <c r="F485" s="15"/>
      <c r="G485" s="20"/>
      <c r="H485" s="15"/>
      <c r="I485" s="20"/>
      <c r="J485" s="15"/>
      <c r="K485" s="20"/>
      <c r="L485" s="18"/>
      <c r="M485" s="20"/>
      <c r="N485" s="1"/>
      <c r="O485" s="1"/>
      <c r="P485" s="1"/>
      <c r="Q485" s="1"/>
    </row>
    <row r="486" spans="1:17" x14ac:dyDescent="0.2">
      <c r="A486" s="1"/>
      <c r="B486" s="39"/>
      <c r="C486" s="40"/>
      <c r="D486" s="40" t="s">
        <v>16</v>
      </c>
      <c r="E486" s="41"/>
      <c r="F486" s="42"/>
      <c r="G486" s="41">
        <f>SUM(G473:G484)</f>
        <v>112</v>
      </c>
      <c r="H486" s="42"/>
      <c r="I486" s="41">
        <f>SUM(I473:I484)</f>
        <v>112</v>
      </c>
      <c r="J486" s="42"/>
      <c r="K486" s="41">
        <f>SUM(K473:K484)</f>
        <v>112</v>
      </c>
      <c r="L486" s="43"/>
      <c r="M486" s="41">
        <f>SUM(M473:M484)</f>
        <v>112</v>
      </c>
      <c r="N486" s="1"/>
      <c r="O486" s="1"/>
      <c r="P486" s="1"/>
      <c r="Q486" s="1"/>
    </row>
    <row r="487" spans="1:17" x14ac:dyDescent="0.2">
      <c r="A487" s="1"/>
      <c r="B487" s="39"/>
      <c r="C487" s="40"/>
      <c r="D487" s="40" t="s">
        <v>5</v>
      </c>
      <c r="E487" s="41"/>
      <c r="F487" s="42"/>
      <c r="G487" s="41">
        <f>G486+G467</f>
        <v>881</v>
      </c>
      <c r="H487" s="42"/>
      <c r="I487" s="41">
        <f>I486+I467</f>
        <v>953</v>
      </c>
      <c r="J487" s="42"/>
      <c r="K487" s="41">
        <f>K486+K467</f>
        <v>927</v>
      </c>
      <c r="L487" s="43"/>
      <c r="M487" s="41">
        <f>M486+M467</f>
        <v>969</v>
      </c>
      <c r="N487" s="1"/>
      <c r="O487" s="1"/>
      <c r="P487" s="1"/>
      <c r="Q487" s="1"/>
    </row>
    <row r="488" spans="1:1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24" x14ac:dyDescent="0.3">
      <c r="A489" s="1"/>
      <c r="B489" s="53" t="s">
        <v>24</v>
      </c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1"/>
      <c r="O489" s="1"/>
      <c r="P489" s="1"/>
      <c r="Q489" s="1"/>
    </row>
    <row r="490" spans="1:17" ht="19" x14ac:dyDescent="0.25">
      <c r="A490" s="1"/>
      <c r="B490" s="34"/>
      <c r="C490" s="35"/>
      <c r="D490" s="35"/>
      <c r="E490" s="36"/>
      <c r="F490" s="51" t="s">
        <v>0</v>
      </c>
      <c r="G490" s="52"/>
      <c r="H490" s="51" t="s">
        <v>1</v>
      </c>
      <c r="I490" s="52"/>
      <c r="J490" s="51" t="s">
        <v>2</v>
      </c>
      <c r="K490" s="52"/>
      <c r="L490" s="51" t="s">
        <v>3</v>
      </c>
      <c r="M490" s="52"/>
      <c r="N490" s="1"/>
      <c r="O490" s="1"/>
      <c r="P490" s="1"/>
      <c r="Q490" s="1"/>
    </row>
    <row r="491" spans="1:17" ht="19" x14ac:dyDescent="0.25">
      <c r="A491" s="1"/>
      <c r="B491" s="49" t="s">
        <v>7</v>
      </c>
      <c r="C491" s="50"/>
      <c r="D491" s="50"/>
      <c r="E491" s="37" t="s">
        <v>6</v>
      </c>
      <c r="F491" s="38" t="s">
        <v>7</v>
      </c>
      <c r="G491" s="37" t="s">
        <v>6</v>
      </c>
      <c r="H491" s="38" t="s">
        <v>7</v>
      </c>
      <c r="I491" s="37" t="s">
        <v>6</v>
      </c>
      <c r="J491" s="38" t="s">
        <v>7</v>
      </c>
      <c r="K491" s="37" t="s">
        <v>6</v>
      </c>
      <c r="L491" s="38" t="s">
        <v>7</v>
      </c>
      <c r="M491" s="37" t="s">
        <v>6</v>
      </c>
      <c r="N491" s="1"/>
      <c r="O491" s="1"/>
      <c r="P491" s="1"/>
      <c r="Q491" s="1"/>
    </row>
    <row r="492" spans="1:17" x14ac:dyDescent="0.2">
      <c r="A492" s="1"/>
      <c r="B492" s="9"/>
      <c r="C492" s="10"/>
      <c r="D492" s="11"/>
      <c r="E492" s="12"/>
      <c r="F492" s="13"/>
      <c r="G492" s="12"/>
      <c r="H492" s="13"/>
      <c r="I492" s="12"/>
      <c r="J492" s="13"/>
      <c r="K492" s="12"/>
      <c r="L492" s="14"/>
      <c r="M492" s="12"/>
      <c r="N492" s="1"/>
      <c r="O492" s="1"/>
      <c r="P492" s="1"/>
      <c r="Q492" s="1"/>
    </row>
    <row r="493" spans="1:17" x14ac:dyDescent="0.2">
      <c r="A493" s="1"/>
      <c r="B493" s="5"/>
      <c r="C493" s="2">
        <v>1</v>
      </c>
      <c r="D493" s="4"/>
      <c r="E493" s="21">
        <v>25</v>
      </c>
      <c r="F493" s="4"/>
      <c r="G493" s="21">
        <f>IF(F493=$D493,$E493,0)</f>
        <v>25</v>
      </c>
      <c r="H493" s="4"/>
      <c r="I493" s="21">
        <f>IF(H493=$D493,$E493,0)</f>
        <v>25</v>
      </c>
      <c r="J493" s="4"/>
      <c r="K493" s="21">
        <f>IF(J493=$D493,$E493,0)</f>
        <v>25</v>
      </c>
      <c r="L493" s="4"/>
      <c r="M493" s="22">
        <f>IF(L493=$D493,$E493,0)</f>
        <v>25</v>
      </c>
      <c r="N493" s="1"/>
      <c r="O493" s="1"/>
      <c r="P493" s="1"/>
      <c r="Q493" s="1"/>
    </row>
    <row r="494" spans="1:17" x14ac:dyDescent="0.2">
      <c r="A494" s="1"/>
      <c r="B494" s="5"/>
      <c r="C494" s="2">
        <v>2</v>
      </c>
      <c r="D494" s="4"/>
      <c r="E494" s="21">
        <v>18</v>
      </c>
      <c r="F494" s="3"/>
      <c r="G494" s="21">
        <f t="shared" ref="G494:G503" si="95">IF(F494=$D494,$E494,0)</f>
        <v>18</v>
      </c>
      <c r="H494" s="3"/>
      <c r="I494" s="21">
        <f t="shared" ref="I494:I504" si="96">IF(H494=$D494,$E494,0)</f>
        <v>18</v>
      </c>
      <c r="J494" s="3"/>
      <c r="K494" s="21">
        <f t="shared" ref="K494:K504" si="97">IF(J494=$D494,$E494,0)</f>
        <v>18</v>
      </c>
      <c r="L494" s="3"/>
      <c r="M494" s="22">
        <f t="shared" ref="M494:M504" si="98">IF(L494=$D494,$E494,0)</f>
        <v>18</v>
      </c>
      <c r="N494" s="1"/>
      <c r="O494" s="1"/>
      <c r="P494" s="1"/>
      <c r="Q494" s="1"/>
    </row>
    <row r="495" spans="1:17" x14ac:dyDescent="0.2">
      <c r="A495" s="1"/>
      <c r="B495" s="5"/>
      <c r="C495" s="2">
        <v>3</v>
      </c>
      <c r="D495" s="4"/>
      <c r="E495" s="21">
        <v>15</v>
      </c>
      <c r="F495" s="3"/>
      <c r="G495" s="21">
        <f t="shared" si="95"/>
        <v>15</v>
      </c>
      <c r="H495" s="3"/>
      <c r="I495" s="21">
        <f t="shared" si="96"/>
        <v>15</v>
      </c>
      <c r="J495" s="3"/>
      <c r="K495" s="21">
        <f t="shared" si="97"/>
        <v>15</v>
      </c>
      <c r="L495" s="3"/>
      <c r="M495" s="22">
        <f t="shared" si="98"/>
        <v>15</v>
      </c>
      <c r="N495" s="1"/>
      <c r="O495" s="1"/>
      <c r="P495" s="1"/>
      <c r="Q495" s="1"/>
    </row>
    <row r="496" spans="1:17" x14ac:dyDescent="0.2">
      <c r="A496" s="1"/>
      <c r="B496" s="5"/>
      <c r="C496" s="2">
        <v>4</v>
      </c>
      <c r="D496" s="4"/>
      <c r="E496" s="21">
        <v>12</v>
      </c>
      <c r="F496" s="3"/>
      <c r="G496" s="21">
        <f t="shared" si="95"/>
        <v>12</v>
      </c>
      <c r="H496" s="3"/>
      <c r="I496" s="21">
        <f t="shared" si="96"/>
        <v>12</v>
      </c>
      <c r="J496" s="3"/>
      <c r="K496" s="21">
        <f t="shared" si="97"/>
        <v>12</v>
      </c>
      <c r="L496" s="3"/>
      <c r="M496" s="22">
        <f t="shared" si="98"/>
        <v>12</v>
      </c>
      <c r="N496" s="1"/>
      <c r="O496" s="1"/>
      <c r="P496" s="1"/>
      <c r="Q496" s="1"/>
    </row>
    <row r="497" spans="1:17" x14ac:dyDescent="0.2">
      <c r="A497" s="1"/>
      <c r="B497" s="5"/>
      <c r="C497" s="2">
        <v>5</v>
      </c>
      <c r="D497" s="4"/>
      <c r="E497" s="21">
        <v>10</v>
      </c>
      <c r="F497" s="3"/>
      <c r="G497" s="21">
        <f t="shared" si="95"/>
        <v>10</v>
      </c>
      <c r="H497" s="3"/>
      <c r="I497" s="21">
        <f t="shared" si="96"/>
        <v>10</v>
      </c>
      <c r="J497" s="3"/>
      <c r="K497" s="21">
        <f t="shared" si="97"/>
        <v>10</v>
      </c>
      <c r="L497" s="3"/>
      <c r="M497" s="22">
        <f t="shared" si="98"/>
        <v>10</v>
      </c>
      <c r="N497" s="1"/>
      <c r="O497" s="1"/>
      <c r="P497" s="1"/>
      <c r="Q497" s="1"/>
    </row>
    <row r="498" spans="1:17" x14ac:dyDescent="0.2">
      <c r="A498" s="1"/>
      <c r="B498" s="5"/>
      <c r="C498" s="2">
        <v>6</v>
      </c>
      <c r="D498" s="4"/>
      <c r="E498" s="21">
        <v>8</v>
      </c>
      <c r="F498" s="3"/>
      <c r="G498" s="21">
        <f t="shared" si="95"/>
        <v>8</v>
      </c>
      <c r="H498" s="3"/>
      <c r="I498" s="21">
        <f t="shared" si="96"/>
        <v>8</v>
      </c>
      <c r="J498" s="3"/>
      <c r="K498" s="21">
        <f t="shared" si="97"/>
        <v>8</v>
      </c>
      <c r="L498" s="3"/>
      <c r="M498" s="22">
        <f t="shared" si="98"/>
        <v>8</v>
      </c>
      <c r="N498" s="1"/>
      <c r="O498" s="1"/>
      <c r="P498" s="1"/>
      <c r="Q498" s="1"/>
    </row>
    <row r="499" spans="1:17" x14ac:dyDescent="0.2">
      <c r="A499" s="1"/>
      <c r="B499" s="5"/>
      <c r="C499" s="2">
        <v>7</v>
      </c>
      <c r="D499" s="4"/>
      <c r="E499" s="21">
        <v>6</v>
      </c>
      <c r="F499" s="3"/>
      <c r="G499" s="21">
        <f t="shared" si="95"/>
        <v>6</v>
      </c>
      <c r="H499" s="3"/>
      <c r="I499" s="21">
        <f t="shared" si="96"/>
        <v>6</v>
      </c>
      <c r="J499" s="3"/>
      <c r="K499" s="21">
        <f t="shared" si="97"/>
        <v>6</v>
      </c>
      <c r="L499" s="3"/>
      <c r="M499" s="22">
        <f t="shared" si="98"/>
        <v>6</v>
      </c>
      <c r="N499" s="1"/>
      <c r="O499" s="1"/>
      <c r="P499" s="1"/>
      <c r="Q499" s="1"/>
    </row>
    <row r="500" spans="1:17" x14ac:dyDescent="0.2">
      <c r="A500" s="1"/>
      <c r="B500" s="5"/>
      <c r="C500" s="2">
        <v>8</v>
      </c>
      <c r="D500" s="4"/>
      <c r="E500" s="21">
        <v>4</v>
      </c>
      <c r="F500" s="3"/>
      <c r="G500" s="21">
        <f t="shared" si="95"/>
        <v>4</v>
      </c>
      <c r="H500" s="3"/>
      <c r="I500" s="21">
        <f t="shared" si="96"/>
        <v>4</v>
      </c>
      <c r="J500" s="3"/>
      <c r="K500" s="21">
        <f t="shared" si="97"/>
        <v>4</v>
      </c>
      <c r="L500" s="4"/>
      <c r="M500" s="22">
        <f t="shared" si="98"/>
        <v>4</v>
      </c>
      <c r="N500" s="1"/>
      <c r="O500" s="1"/>
      <c r="P500" s="1"/>
      <c r="Q500" s="1"/>
    </row>
    <row r="501" spans="1:17" x14ac:dyDescent="0.2">
      <c r="A501" s="1"/>
      <c r="B501" s="5"/>
      <c r="C501" s="2">
        <v>9</v>
      </c>
      <c r="D501" s="4"/>
      <c r="E501" s="21">
        <v>2</v>
      </c>
      <c r="F501" s="3"/>
      <c r="G501" s="21">
        <f t="shared" si="95"/>
        <v>2</v>
      </c>
      <c r="H501" s="3"/>
      <c r="I501" s="21">
        <f t="shared" si="96"/>
        <v>2</v>
      </c>
      <c r="J501" s="3"/>
      <c r="K501" s="21">
        <f t="shared" si="97"/>
        <v>2</v>
      </c>
      <c r="L501" s="3"/>
      <c r="M501" s="22">
        <f t="shared" si="98"/>
        <v>2</v>
      </c>
      <c r="N501" s="1"/>
      <c r="O501" s="1"/>
      <c r="P501" s="1"/>
      <c r="Q501" s="1"/>
    </row>
    <row r="502" spans="1:17" x14ac:dyDescent="0.2">
      <c r="A502" s="1"/>
      <c r="B502" s="5"/>
      <c r="C502" s="2">
        <v>10</v>
      </c>
      <c r="D502" s="4"/>
      <c r="E502" s="21">
        <v>1</v>
      </c>
      <c r="F502" s="3"/>
      <c r="G502" s="21">
        <f t="shared" si="95"/>
        <v>1</v>
      </c>
      <c r="H502" s="3"/>
      <c r="I502" s="21">
        <f t="shared" si="96"/>
        <v>1</v>
      </c>
      <c r="J502" s="3"/>
      <c r="K502" s="21">
        <f t="shared" si="97"/>
        <v>1</v>
      </c>
      <c r="L502" s="6"/>
      <c r="M502" s="22">
        <f t="shared" si="98"/>
        <v>1</v>
      </c>
      <c r="N502" s="1"/>
      <c r="O502" s="1"/>
      <c r="P502" s="1"/>
      <c r="Q502" s="1"/>
    </row>
    <row r="503" spans="1:17" x14ac:dyDescent="0.2">
      <c r="A503" s="1"/>
      <c r="B503" s="19"/>
      <c r="C503" s="2" t="s">
        <v>4</v>
      </c>
      <c r="D503" s="4"/>
      <c r="E503" s="21">
        <v>1</v>
      </c>
      <c r="F503" s="4"/>
      <c r="G503" s="21">
        <f t="shared" si="95"/>
        <v>1</v>
      </c>
      <c r="H503" s="4"/>
      <c r="I503" s="21">
        <f t="shared" si="96"/>
        <v>1</v>
      </c>
      <c r="J503" s="4"/>
      <c r="K503" s="21">
        <f t="shared" si="97"/>
        <v>1</v>
      </c>
      <c r="L503" s="4"/>
      <c r="M503" s="22">
        <f t="shared" si="98"/>
        <v>1</v>
      </c>
      <c r="N503" s="1"/>
      <c r="O503" s="1"/>
      <c r="P503" s="1"/>
      <c r="Q503" s="1"/>
    </row>
    <row r="504" spans="1:17" x14ac:dyDescent="0.2">
      <c r="A504" s="1"/>
      <c r="B504" s="19"/>
      <c r="C504" s="2" t="s">
        <v>19</v>
      </c>
      <c r="D504" s="4"/>
      <c r="E504" s="21">
        <v>10</v>
      </c>
      <c r="F504" s="3"/>
      <c r="G504" s="21">
        <f>IF(F504=$D504,$E504,0)</f>
        <v>10</v>
      </c>
      <c r="H504" s="3"/>
      <c r="I504" s="21">
        <f t="shared" si="96"/>
        <v>10</v>
      </c>
      <c r="J504" s="3"/>
      <c r="K504" s="21">
        <f t="shared" si="97"/>
        <v>10</v>
      </c>
      <c r="L504" s="3"/>
      <c r="M504" s="22">
        <f t="shared" si="98"/>
        <v>10</v>
      </c>
      <c r="N504" s="1"/>
      <c r="O504" s="1"/>
      <c r="P504" s="1"/>
      <c r="Q504" s="1"/>
    </row>
    <row r="505" spans="1:17" x14ac:dyDescent="0.2">
      <c r="A505" s="1"/>
      <c r="B505" s="15"/>
      <c r="C505" s="16"/>
      <c r="D505" s="17"/>
      <c r="E505" s="20"/>
      <c r="F505" s="15"/>
      <c r="G505" s="20"/>
      <c r="H505" s="15"/>
      <c r="I505" s="20"/>
      <c r="J505" s="15"/>
      <c r="K505" s="20"/>
      <c r="L505" s="18"/>
      <c r="M505" s="20"/>
      <c r="N505" s="1"/>
      <c r="O505" s="1"/>
      <c r="P505" s="1"/>
      <c r="Q505" s="1"/>
    </row>
    <row r="506" spans="1:17" x14ac:dyDescent="0.2">
      <c r="A506" s="1"/>
      <c r="B506" s="39"/>
      <c r="C506" s="40"/>
      <c r="D506" s="40" t="s">
        <v>16</v>
      </c>
      <c r="E506" s="41"/>
      <c r="F506" s="42"/>
      <c r="G506" s="41">
        <f>SUM(G493:G504)</f>
        <v>112</v>
      </c>
      <c r="H506" s="42"/>
      <c r="I506" s="41">
        <f>SUM(I493:I504)</f>
        <v>112</v>
      </c>
      <c r="J506" s="42"/>
      <c r="K506" s="41">
        <f>SUM(K493:K504)</f>
        <v>112</v>
      </c>
      <c r="L506" s="43"/>
      <c r="M506" s="41">
        <f>SUM(M493:M504)</f>
        <v>112</v>
      </c>
      <c r="N506" s="1"/>
      <c r="O506" s="1"/>
      <c r="P506" s="1"/>
      <c r="Q506" s="1"/>
    </row>
    <row r="507" spans="1:17" x14ac:dyDescent="0.2">
      <c r="A507" s="1"/>
      <c r="B507" s="39"/>
      <c r="C507" s="40"/>
      <c r="D507" s="40" t="s">
        <v>5</v>
      </c>
      <c r="E507" s="41"/>
      <c r="F507" s="42"/>
      <c r="G507" s="41">
        <f>G506+G487</f>
        <v>993</v>
      </c>
      <c r="H507" s="42"/>
      <c r="I507" s="41">
        <f>I506+I487</f>
        <v>1065</v>
      </c>
      <c r="J507" s="42"/>
      <c r="K507" s="41">
        <f>K506+K487</f>
        <v>1039</v>
      </c>
      <c r="L507" s="43"/>
      <c r="M507" s="41">
        <f>M506+M487</f>
        <v>1081</v>
      </c>
      <c r="N507" s="1"/>
      <c r="O507" s="1"/>
      <c r="P507" s="1"/>
      <c r="Q507" s="1"/>
    </row>
    <row r="508" spans="1:1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24" x14ac:dyDescent="0.3">
      <c r="A509" s="1"/>
      <c r="B509" s="53" t="s">
        <v>50</v>
      </c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1"/>
      <c r="O509" s="1"/>
      <c r="P509" s="1"/>
      <c r="Q509" s="1"/>
    </row>
    <row r="510" spans="1:17" ht="19" x14ac:dyDescent="0.25">
      <c r="A510" s="1"/>
      <c r="B510" s="34"/>
      <c r="C510" s="35"/>
      <c r="D510" s="35"/>
      <c r="E510" s="36"/>
      <c r="F510" s="51" t="s">
        <v>0</v>
      </c>
      <c r="G510" s="52"/>
      <c r="H510" s="51" t="s">
        <v>1</v>
      </c>
      <c r="I510" s="52"/>
      <c r="J510" s="51" t="s">
        <v>2</v>
      </c>
      <c r="K510" s="52"/>
      <c r="L510" s="51" t="s">
        <v>3</v>
      </c>
      <c r="M510" s="52"/>
      <c r="N510" s="1"/>
      <c r="O510" s="1"/>
      <c r="P510" s="1"/>
      <c r="Q510" s="1"/>
    </row>
    <row r="511" spans="1:17" ht="19" x14ac:dyDescent="0.25">
      <c r="A511" s="1"/>
      <c r="B511" s="49" t="s">
        <v>7</v>
      </c>
      <c r="C511" s="50"/>
      <c r="D511" s="50"/>
      <c r="E511" s="37" t="s">
        <v>6</v>
      </c>
      <c r="F511" s="38" t="s">
        <v>7</v>
      </c>
      <c r="G511" s="37" t="s">
        <v>6</v>
      </c>
      <c r="H511" s="38" t="s">
        <v>7</v>
      </c>
      <c r="I511" s="37" t="s">
        <v>6</v>
      </c>
      <c r="J511" s="38" t="s">
        <v>7</v>
      </c>
      <c r="K511" s="37" t="s">
        <v>6</v>
      </c>
      <c r="L511" s="38" t="s">
        <v>7</v>
      </c>
      <c r="M511" s="37" t="s">
        <v>6</v>
      </c>
      <c r="N511" s="1"/>
      <c r="O511" s="1"/>
      <c r="P511" s="1"/>
      <c r="Q511" s="1"/>
    </row>
    <row r="512" spans="1:17" x14ac:dyDescent="0.2">
      <c r="A512" s="1"/>
      <c r="B512" s="9"/>
      <c r="C512" s="10"/>
      <c r="D512" s="11"/>
      <c r="E512" s="12"/>
      <c r="F512" s="13"/>
      <c r="G512" s="12"/>
      <c r="H512" s="13"/>
      <c r="I512" s="12"/>
      <c r="J512" s="13"/>
      <c r="K512" s="12"/>
      <c r="L512" s="14"/>
      <c r="M512" s="12"/>
      <c r="N512" s="1"/>
      <c r="O512" s="1"/>
      <c r="P512" s="1"/>
      <c r="Q512" s="1"/>
    </row>
    <row r="513" spans="1:17" x14ac:dyDescent="0.2">
      <c r="A513" s="1"/>
      <c r="B513" s="5"/>
      <c r="C513" s="2">
        <v>1</v>
      </c>
      <c r="D513" s="4"/>
      <c r="E513" s="21">
        <v>25</v>
      </c>
      <c r="F513" s="4"/>
      <c r="G513" s="21">
        <f>IF(F513=$D513,$E513,0)</f>
        <v>25</v>
      </c>
      <c r="H513" s="4"/>
      <c r="I513" s="21">
        <f>IF(H513=$D513,$E513,0)</f>
        <v>25</v>
      </c>
      <c r="J513" s="4"/>
      <c r="K513" s="21">
        <f>IF(J513=$D513,$E513,0)</f>
        <v>25</v>
      </c>
      <c r="L513" s="4"/>
      <c r="M513" s="22">
        <f>IF(L513=$D513,$E513,0)</f>
        <v>25</v>
      </c>
      <c r="N513" s="1"/>
      <c r="O513" s="1"/>
      <c r="P513" s="1"/>
      <c r="Q513" s="1"/>
    </row>
    <row r="514" spans="1:17" x14ac:dyDescent="0.2">
      <c r="A514" s="1"/>
      <c r="B514" s="5"/>
      <c r="C514" s="2">
        <v>2</v>
      </c>
      <c r="D514" s="4"/>
      <c r="E514" s="21">
        <v>18</v>
      </c>
      <c r="F514" s="3"/>
      <c r="G514" s="21">
        <f t="shared" ref="G514:G523" si="99">IF(F514=$D514,$E514,0)</f>
        <v>18</v>
      </c>
      <c r="H514" s="3"/>
      <c r="I514" s="21">
        <f t="shared" ref="I514:I524" si="100">IF(H514=$D514,$E514,0)</f>
        <v>18</v>
      </c>
      <c r="J514" s="3"/>
      <c r="K514" s="21">
        <f t="shared" ref="K514:K524" si="101">IF(J514=$D514,$E514,0)</f>
        <v>18</v>
      </c>
      <c r="L514" s="3"/>
      <c r="M514" s="22">
        <f t="shared" ref="M514:M524" si="102">IF(L514=$D514,$E514,0)</f>
        <v>18</v>
      </c>
      <c r="N514" s="1"/>
      <c r="O514" s="1"/>
      <c r="P514" s="1"/>
      <c r="Q514" s="1"/>
    </row>
    <row r="515" spans="1:17" x14ac:dyDescent="0.2">
      <c r="A515" s="1"/>
      <c r="B515" s="5"/>
      <c r="C515" s="2">
        <v>3</v>
      </c>
      <c r="D515" s="4"/>
      <c r="E515" s="21">
        <v>15</v>
      </c>
      <c r="F515" s="3"/>
      <c r="G515" s="21">
        <f t="shared" si="99"/>
        <v>15</v>
      </c>
      <c r="H515" s="3"/>
      <c r="I515" s="21">
        <f t="shared" si="100"/>
        <v>15</v>
      </c>
      <c r="J515" s="3"/>
      <c r="K515" s="21">
        <f t="shared" si="101"/>
        <v>15</v>
      </c>
      <c r="L515" s="3"/>
      <c r="M515" s="22">
        <f t="shared" si="102"/>
        <v>15</v>
      </c>
      <c r="N515" s="1"/>
      <c r="O515" s="1"/>
      <c r="P515" s="1"/>
      <c r="Q515" s="1"/>
    </row>
    <row r="516" spans="1:17" x14ac:dyDescent="0.2">
      <c r="A516" s="1"/>
      <c r="B516" s="5"/>
      <c r="C516" s="2">
        <v>4</v>
      </c>
      <c r="D516" s="4"/>
      <c r="E516" s="21">
        <v>12</v>
      </c>
      <c r="F516" s="3"/>
      <c r="G516" s="21">
        <f t="shared" si="99"/>
        <v>12</v>
      </c>
      <c r="H516" s="3"/>
      <c r="I516" s="21">
        <f t="shared" si="100"/>
        <v>12</v>
      </c>
      <c r="J516" s="3"/>
      <c r="K516" s="21">
        <f t="shared" si="101"/>
        <v>12</v>
      </c>
      <c r="L516" s="3"/>
      <c r="M516" s="22">
        <f t="shared" si="102"/>
        <v>12</v>
      </c>
      <c r="N516" s="1"/>
      <c r="O516" s="1"/>
      <c r="P516" s="1"/>
      <c r="Q516" s="1"/>
    </row>
    <row r="517" spans="1:17" x14ac:dyDescent="0.2">
      <c r="A517" s="1"/>
      <c r="B517" s="5"/>
      <c r="C517" s="2">
        <v>5</v>
      </c>
      <c r="D517" s="4"/>
      <c r="E517" s="21">
        <v>10</v>
      </c>
      <c r="F517" s="3"/>
      <c r="G517" s="21">
        <f t="shared" si="99"/>
        <v>10</v>
      </c>
      <c r="H517" s="3"/>
      <c r="I517" s="21">
        <f t="shared" si="100"/>
        <v>10</v>
      </c>
      <c r="J517" s="3"/>
      <c r="K517" s="21">
        <f t="shared" si="101"/>
        <v>10</v>
      </c>
      <c r="L517" s="3"/>
      <c r="M517" s="22">
        <f t="shared" si="102"/>
        <v>10</v>
      </c>
      <c r="N517" s="1"/>
      <c r="O517" s="1"/>
      <c r="P517" s="1"/>
      <c r="Q517" s="1"/>
    </row>
    <row r="518" spans="1:17" x14ac:dyDescent="0.2">
      <c r="A518" s="1"/>
      <c r="B518" s="5"/>
      <c r="C518" s="2">
        <v>6</v>
      </c>
      <c r="D518" s="4"/>
      <c r="E518" s="21">
        <v>8</v>
      </c>
      <c r="F518" s="3"/>
      <c r="G518" s="21">
        <f t="shared" si="99"/>
        <v>8</v>
      </c>
      <c r="H518" s="3"/>
      <c r="I518" s="21">
        <f t="shared" si="100"/>
        <v>8</v>
      </c>
      <c r="J518" s="3"/>
      <c r="K518" s="21">
        <f t="shared" si="101"/>
        <v>8</v>
      </c>
      <c r="L518" s="3"/>
      <c r="M518" s="22">
        <f t="shared" si="102"/>
        <v>8</v>
      </c>
      <c r="N518" s="1"/>
      <c r="O518" s="1"/>
      <c r="P518" s="1"/>
      <c r="Q518" s="1"/>
    </row>
    <row r="519" spans="1:17" x14ac:dyDescent="0.2">
      <c r="A519" s="1"/>
      <c r="B519" s="5"/>
      <c r="C519" s="2">
        <v>7</v>
      </c>
      <c r="D519" s="4"/>
      <c r="E519" s="21">
        <v>6</v>
      </c>
      <c r="F519" s="3"/>
      <c r="G519" s="21">
        <f t="shared" si="99"/>
        <v>6</v>
      </c>
      <c r="H519" s="3"/>
      <c r="I519" s="21">
        <f t="shared" si="100"/>
        <v>6</v>
      </c>
      <c r="J519" s="3"/>
      <c r="K519" s="21">
        <f t="shared" si="101"/>
        <v>6</v>
      </c>
      <c r="L519" s="3"/>
      <c r="M519" s="22">
        <f t="shared" si="102"/>
        <v>6</v>
      </c>
      <c r="N519" s="1"/>
      <c r="O519" s="1"/>
      <c r="P519" s="1"/>
      <c r="Q519" s="1"/>
    </row>
    <row r="520" spans="1:17" x14ac:dyDescent="0.2">
      <c r="A520" s="1"/>
      <c r="B520" s="5"/>
      <c r="C520" s="2">
        <v>8</v>
      </c>
      <c r="D520" s="4"/>
      <c r="E520" s="21">
        <v>4</v>
      </c>
      <c r="F520" s="3"/>
      <c r="G520" s="21">
        <f t="shared" si="99"/>
        <v>4</v>
      </c>
      <c r="H520" s="3"/>
      <c r="I520" s="21">
        <f t="shared" si="100"/>
        <v>4</v>
      </c>
      <c r="J520" s="3"/>
      <c r="K520" s="21">
        <f t="shared" si="101"/>
        <v>4</v>
      </c>
      <c r="L520" s="4"/>
      <c r="M520" s="22">
        <f t="shared" si="102"/>
        <v>4</v>
      </c>
      <c r="N520" s="1"/>
      <c r="O520" s="1"/>
      <c r="P520" s="1"/>
      <c r="Q520" s="1"/>
    </row>
    <row r="521" spans="1:17" x14ac:dyDescent="0.2">
      <c r="A521" s="1"/>
      <c r="B521" s="5"/>
      <c r="C521" s="2">
        <v>9</v>
      </c>
      <c r="D521" s="4"/>
      <c r="E521" s="21">
        <v>2</v>
      </c>
      <c r="F521" s="3"/>
      <c r="G521" s="21">
        <f t="shared" si="99"/>
        <v>2</v>
      </c>
      <c r="H521" s="3"/>
      <c r="I521" s="21">
        <f t="shared" si="100"/>
        <v>2</v>
      </c>
      <c r="J521" s="3"/>
      <c r="K521" s="21">
        <f t="shared" si="101"/>
        <v>2</v>
      </c>
      <c r="L521" s="3"/>
      <c r="M521" s="22">
        <f t="shared" si="102"/>
        <v>2</v>
      </c>
      <c r="N521" s="1"/>
      <c r="O521" s="1"/>
      <c r="P521" s="1"/>
      <c r="Q521" s="1"/>
    </row>
    <row r="522" spans="1:17" x14ac:dyDescent="0.2">
      <c r="A522" s="1"/>
      <c r="B522" s="5"/>
      <c r="C522" s="2">
        <v>10</v>
      </c>
      <c r="D522" s="4"/>
      <c r="E522" s="21">
        <v>1</v>
      </c>
      <c r="F522" s="3"/>
      <c r="G522" s="21">
        <f t="shared" si="99"/>
        <v>1</v>
      </c>
      <c r="H522" s="3"/>
      <c r="I522" s="21">
        <f t="shared" si="100"/>
        <v>1</v>
      </c>
      <c r="J522" s="3"/>
      <c r="K522" s="21">
        <f t="shared" si="101"/>
        <v>1</v>
      </c>
      <c r="L522" s="6"/>
      <c r="M522" s="22">
        <f t="shared" si="102"/>
        <v>1</v>
      </c>
      <c r="N522" s="1"/>
      <c r="O522" s="1"/>
      <c r="P522" s="1"/>
      <c r="Q522" s="1"/>
    </row>
    <row r="523" spans="1:17" x14ac:dyDescent="0.2">
      <c r="A523" s="1"/>
      <c r="B523" s="19"/>
      <c r="C523" s="2" t="s">
        <v>4</v>
      </c>
      <c r="D523" s="4"/>
      <c r="E523" s="21">
        <v>1</v>
      </c>
      <c r="F523" s="4"/>
      <c r="G523" s="21">
        <f t="shared" si="99"/>
        <v>1</v>
      </c>
      <c r="H523" s="4"/>
      <c r="I523" s="21">
        <f t="shared" si="100"/>
        <v>1</v>
      </c>
      <c r="J523" s="4"/>
      <c r="K523" s="21">
        <f t="shared" si="101"/>
        <v>1</v>
      </c>
      <c r="L523" s="4"/>
      <c r="M523" s="22">
        <f t="shared" si="102"/>
        <v>1</v>
      </c>
      <c r="N523" s="1"/>
      <c r="O523" s="1"/>
      <c r="P523" s="1"/>
      <c r="Q523" s="1"/>
    </row>
    <row r="524" spans="1:17" x14ac:dyDescent="0.2">
      <c r="A524" s="1"/>
      <c r="B524" s="19"/>
      <c r="C524" s="2" t="s">
        <v>19</v>
      </c>
      <c r="D524" s="4"/>
      <c r="E524" s="21">
        <v>10</v>
      </c>
      <c r="F524" s="3"/>
      <c r="G524" s="21">
        <f>IF(F524=$D524,$E524,0)+10</f>
        <v>20</v>
      </c>
      <c r="H524" s="3"/>
      <c r="I524" s="21">
        <f t="shared" si="100"/>
        <v>10</v>
      </c>
      <c r="J524" s="3"/>
      <c r="K524" s="21">
        <f t="shared" si="101"/>
        <v>10</v>
      </c>
      <c r="L524" s="3"/>
      <c r="M524" s="22">
        <f t="shared" si="102"/>
        <v>10</v>
      </c>
      <c r="N524" s="1"/>
      <c r="O524" s="1"/>
      <c r="P524" s="1"/>
      <c r="Q524" s="1"/>
    </row>
    <row r="525" spans="1:17" x14ac:dyDescent="0.2">
      <c r="A525" s="1"/>
      <c r="B525" s="15"/>
      <c r="C525" s="16"/>
      <c r="D525" s="17"/>
      <c r="E525" s="20"/>
      <c r="F525" s="15"/>
      <c r="G525" s="20"/>
      <c r="H525" s="15"/>
      <c r="I525" s="20"/>
      <c r="J525" s="15"/>
      <c r="K525" s="20"/>
      <c r="L525" s="18"/>
      <c r="M525" s="20"/>
      <c r="N525" s="1"/>
      <c r="O525" s="1"/>
      <c r="P525" s="1"/>
      <c r="Q525" s="1"/>
    </row>
    <row r="526" spans="1:17" x14ac:dyDescent="0.2">
      <c r="A526" s="1"/>
      <c r="B526" s="39"/>
      <c r="C526" s="40"/>
      <c r="D526" s="40" t="s">
        <v>16</v>
      </c>
      <c r="E526" s="41"/>
      <c r="F526" s="42"/>
      <c r="G526" s="41">
        <f>SUM(G513:G524)</f>
        <v>122</v>
      </c>
      <c r="H526" s="42"/>
      <c r="I526" s="41">
        <f>SUM(I513:I524)</f>
        <v>112</v>
      </c>
      <c r="J526" s="42"/>
      <c r="K526" s="41">
        <f>SUM(K513:K524)</f>
        <v>112</v>
      </c>
      <c r="L526" s="43"/>
      <c r="M526" s="41">
        <f>SUM(M513:M524)</f>
        <v>112</v>
      </c>
      <c r="N526" s="1"/>
      <c r="O526" s="1"/>
      <c r="P526" s="1"/>
      <c r="Q526" s="1"/>
    </row>
    <row r="527" spans="1:17" x14ac:dyDescent="0.2">
      <c r="A527" s="1"/>
      <c r="B527" s="39"/>
      <c r="C527" s="40"/>
      <c r="D527" s="40" t="s">
        <v>5</v>
      </c>
      <c r="E527" s="41"/>
      <c r="F527" s="42"/>
      <c r="G527" s="41">
        <f>G526+G507</f>
        <v>1115</v>
      </c>
      <c r="H527" s="42"/>
      <c r="I527" s="41">
        <f>I526+I507</f>
        <v>1177</v>
      </c>
      <c r="J527" s="42"/>
      <c r="K527" s="41">
        <f>K526+K507</f>
        <v>1151</v>
      </c>
      <c r="L527" s="43"/>
      <c r="M527" s="41">
        <f>M526+M507</f>
        <v>1193</v>
      </c>
      <c r="N527" s="1"/>
      <c r="O527" s="1"/>
      <c r="P527" s="1"/>
      <c r="Q527" s="1"/>
    </row>
    <row r="528" spans="1:1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24" x14ac:dyDescent="0.3">
      <c r="A529" s="1"/>
      <c r="B529" s="53" t="s">
        <v>51</v>
      </c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1"/>
      <c r="O529" s="1"/>
      <c r="P529" s="1"/>
      <c r="Q529" s="1"/>
    </row>
    <row r="530" spans="1:17" ht="19" x14ac:dyDescent="0.25">
      <c r="A530" s="1"/>
      <c r="B530" s="34"/>
      <c r="C530" s="35"/>
      <c r="D530" s="35"/>
      <c r="E530" s="36"/>
      <c r="F530" s="51" t="s">
        <v>0</v>
      </c>
      <c r="G530" s="52"/>
      <c r="H530" s="51" t="s">
        <v>1</v>
      </c>
      <c r="I530" s="52"/>
      <c r="J530" s="51" t="s">
        <v>2</v>
      </c>
      <c r="K530" s="52"/>
      <c r="L530" s="51" t="s">
        <v>3</v>
      </c>
      <c r="M530" s="52"/>
      <c r="N530" s="1"/>
      <c r="O530" s="1"/>
      <c r="P530" s="1"/>
      <c r="Q530" s="1"/>
    </row>
    <row r="531" spans="1:17" ht="19" x14ac:dyDescent="0.25">
      <c r="A531" s="1"/>
      <c r="B531" s="49" t="s">
        <v>7</v>
      </c>
      <c r="C531" s="50"/>
      <c r="D531" s="50"/>
      <c r="E531" s="37" t="s">
        <v>6</v>
      </c>
      <c r="F531" s="38" t="s">
        <v>7</v>
      </c>
      <c r="G531" s="37" t="s">
        <v>6</v>
      </c>
      <c r="H531" s="38" t="s">
        <v>7</v>
      </c>
      <c r="I531" s="37" t="s">
        <v>6</v>
      </c>
      <c r="J531" s="38" t="s">
        <v>7</v>
      </c>
      <c r="K531" s="37" t="s">
        <v>6</v>
      </c>
      <c r="L531" s="38" t="s">
        <v>7</v>
      </c>
      <c r="M531" s="37" t="s">
        <v>6</v>
      </c>
      <c r="N531" s="1"/>
      <c r="O531" s="1"/>
      <c r="P531" s="1"/>
      <c r="Q531" s="1"/>
    </row>
    <row r="532" spans="1:17" x14ac:dyDescent="0.2">
      <c r="A532" s="1"/>
      <c r="B532" s="9"/>
      <c r="C532" s="10"/>
      <c r="D532" s="11"/>
      <c r="E532" s="12"/>
      <c r="F532" s="13"/>
      <c r="G532" s="12"/>
      <c r="H532" s="13"/>
      <c r="I532" s="12"/>
      <c r="J532" s="13"/>
      <c r="K532" s="12"/>
      <c r="L532" s="14"/>
      <c r="M532" s="12"/>
      <c r="N532" s="1"/>
      <c r="O532" s="1"/>
      <c r="P532" s="1"/>
      <c r="Q532" s="1"/>
    </row>
    <row r="533" spans="1:17" x14ac:dyDescent="0.2">
      <c r="A533" s="1"/>
      <c r="B533" s="5"/>
      <c r="C533" s="2">
        <v>1</v>
      </c>
      <c r="D533" s="4"/>
      <c r="E533" s="21">
        <v>25</v>
      </c>
      <c r="F533" s="4"/>
      <c r="G533" s="21">
        <f>IF(F533=$D533,$E533,0)</f>
        <v>25</v>
      </c>
      <c r="H533" s="4"/>
      <c r="I533" s="21">
        <f>IF(H533=$D533,$E533,0)</f>
        <v>25</v>
      </c>
      <c r="J533" s="4"/>
      <c r="K533" s="21">
        <f>IF(J533=$D533,$E533,0)</f>
        <v>25</v>
      </c>
      <c r="L533" s="4"/>
      <c r="M533" s="22">
        <f>IF(L533=$D533,$E533,0)</f>
        <v>25</v>
      </c>
      <c r="N533" s="1"/>
      <c r="O533" s="48"/>
      <c r="P533" s="1"/>
      <c r="Q533" s="1"/>
    </row>
    <row r="534" spans="1:17" x14ac:dyDescent="0.2">
      <c r="A534" s="1"/>
      <c r="B534" s="5"/>
      <c r="C534" s="2">
        <v>2</v>
      </c>
      <c r="D534" s="4"/>
      <c r="E534" s="21">
        <v>18</v>
      </c>
      <c r="F534" s="3"/>
      <c r="G534" s="21">
        <f t="shared" ref="G534:G543" si="103">IF(F534=$D534,$E534,0)</f>
        <v>18</v>
      </c>
      <c r="H534" s="3"/>
      <c r="I534" s="21">
        <f t="shared" ref="I534:I544" si="104">IF(H534=$D534,$E534,0)</f>
        <v>18</v>
      </c>
      <c r="J534" s="3"/>
      <c r="K534" s="21">
        <f t="shared" ref="K534:K544" si="105">IF(J534=$D534,$E534,0)</f>
        <v>18</v>
      </c>
      <c r="L534" s="3"/>
      <c r="M534" s="22">
        <f t="shared" ref="M534:M544" si="106">IF(L534=$D534,$E534,0)</f>
        <v>18</v>
      </c>
      <c r="N534" s="1"/>
      <c r="O534" s="48"/>
      <c r="P534" s="1"/>
      <c r="Q534" s="1"/>
    </row>
    <row r="535" spans="1:17" x14ac:dyDescent="0.2">
      <c r="A535" s="1"/>
      <c r="B535" s="5"/>
      <c r="C535" s="2">
        <v>3</v>
      </c>
      <c r="D535" s="4"/>
      <c r="E535" s="21">
        <v>15</v>
      </c>
      <c r="F535" s="3"/>
      <c r="G535" s="21">
        <f t="shared" si="103"/>
        <v>15</v>
      </c>
      <c r="H535" s="3"/>
      <c r="I535" s="21">
        <f t="shared" si="104"/>
        <v>15</v>
      </c>
      <c r="J535" s="3"/>
      <c r="K535" s="21">
        <f t="shared" si="105"/>
        <v>15</v>
      </c>
      <c r="L535" s="3"/>
      <c r="M535" s="22">
        <f t="shared" si="106"/>
        <v>15</v>
      </c>
      <c r="N535" s="1"/>
      <c r="O535" s="1"/>
      <c r="P535" s="1"/>
      <c r="Q535" s="1"/>
    </row>
    <row r="536" spans="1:17" x14ac:dyDescent="0.2">
      <c r="A536" s="1"/>
      <c r="B536" s="5"/>
      <c r="C536" s="2">
        <v>4</v>
      </c>
      <c r="D536" s="4"/>
      <c r="E536" s="21">
        <v>12</v>
      </c>
      <c r="F536" s="3"/>
      <c r="G536" s="21">
        <f t="shared" si="103"/>
        <v>12</v>
      </c>
      <c r="H536" s="3"/>
      <c r="I536" s="21">
        <f t="shared" si="104"/>
        <v>12</v>
      </c>
      <c r="J536" s="3"/>
      <c r="K536" s="21">
        <f t="shared" si="105"/>
        <v>12</v>
      </c>
      <c r="L536" s="3"/>
      <c r="M536" s="22">
        <f t="shared" si="106"/>
        <v>12</v>
      </c>
      <c r="N536" s="1"/>
      <c r="O536" s="1"/>
      <c r="P536" s="1"/>
      <c r="Q536" s="1"/>
    </row>
    <row r="537" spans="1:17" x14ac:dyDescent="0.2">
      <c r="A537" s="1"/>
      <c r="B537" s="5"/>
      <c r="C537" s="2">
        <v>5</v>
      </c>
      <c r="D537" s="4"/>
      <c r="E537" s="21">
        <v>10</v>
      </c>
      <c r="F537" s="3"/>
      <c r="G537" s="21">
        <f t="shared" si="103"/>
        <v>10</v>
      </c>
      <c r="H537" s="3"/>
      <c r="I537" s="21">
        <f t="shared" si="104"/>
        <v>10</v>
      </c>
      <c r="J537" s="3"/>
      <c r="K537" s="21">
        <f t="shared" si="105"/>
        <v>10</v>
      </c>
      <c r="L537" s="3"/>
      <c r="M537" s="22">
        <f t="shared" si="106"/>
        <v>10</v>
      </c>
      <c r="N537" s="1"/>
      <c r="O537" s="1"/>
      <c r="P537" s="1"/>
      <c r="Q537" s="1"/>
    </row>
    <row r="538" spans="1:17" x14ac:dyDescent="0.2">
      <c r="A538" s="1"/>
      <c r="B538" s="5"/>
      <c r="C538" s="2">
        <v>6</v>
      </c>
      <c r="D538" s="4"/>
      <c r="E538" s="21">
        <v>8</v>
      </c>
      <c r="F538" s="3"/>
      <c r="G538" s="21">
        <f t="shared" si="103"/>
        <v>8</v>
      </c>
      <c r="H538" s="3"/>
      <c r="I538" s="21">
        <f t="shared" si="104"/>
        <v>8</v>
      </c>
      <c r="J538" s="3"/>
      <c r="K538" s="21">
        <f t="shared" si="105"/>
        <v>8</v>
      </c>
      <c r="L538" s="3"/>
      <c r="M538" s="22">
        <f t="shared" si="106"/>
        <v>8</v>
      </c>
      <c r="N538" s="1"/>
      <c r="O538" s="1"/>
      <c r="P538" s="1"/>
      <c r="Q538" s="1"/>
    </row>
    <row r="539" spans="1:17" x14ac:dyDescent="0.2">
      <c r="A539" s="1"/>
      <c r="B539" s="5"/>
      <c r="C539" s="2">
        <v>7</v>
      </c>
      <c r="D539" s="4"/>
      <c r="E539" s="21">
        <v>6</v>
      </c>
      <c r="F539" s="3"/>
      <c r="G539" s="21">
        <f t="shared" si="103"/>
        <v>6</v>
      </c>
      <c r="H539" s="3"/>
      <c r="I539" s="21">
        <f t="shared" si="104"/>
        <v>6</v>
      </c>
      <c r="J539" s="3"/>
      <c r="K539" s="21">
        <f t="shared" si="105"/>
        <v>6</v>
      </c>
      <c r="L539" s="3"/>
      <c r="M539" s="22">
        <f t="shared" si="106"/>
        <v>6</v>
      </c>
      <c r="N539" s="1"/>
      <c r="O539" s="1"/>
      <c r="P539" s="1"/>
      <c r="Q539" s="1"/>
    </row>
    <row r="540" spans="1:17" x14ac:dyDescent="0.2">
      <c r="A540" s="1"/>
      <c r="B540" s="5"/>
      <c r="C540" s="2">
        <v>8</v>
      </c>
      <c r="D540" s="4"/>
      <c r="E540" s="21">
        <v>4</v>
      </c>
      <c r="F540" s="3"/>
      <c r="G540" s="21">
        <f t="shared" si="103"/>
        <v>4</v>
      </c>
      <c r="H540" s="3"/>
      <c r="I540" s="21">
        <f t="shared" si="104"/>
        <v>4</v>
      </c>
      <c r="J540" s="3"/>
      <c r="K540" s="21">
        <f t="shared" si="105"/>
        <v>4</v>
      </c>
      <c r="L540" s="4"/>
      <c r="M540" s="22">
        <f t="shared" si="106"/>
        <v>4</v>
      </c>
      <c r="N540" s="1"/>
      <c r="O540" s="1"/>
      <c r="P540" s="1"/>
      <c r="Q540" s="1"/>
    </row>
    <row r="541" spans="1:17" x14ac:dyDescent="0.2">
      <c r="A541" s="1"/>
      <c r="B541" s="5"/>
      <c r="C541" s="2">
        <v>9</v>
      </c>
      <c r="D541" s="4"/>
      <c r="E541" s="21">
        <v>2</v>
      </c>
      <c r="F541" s="3"/>
      <c r="G541" s="21">
        <f t="shared" si="103"/>
        <v>2</v>
      </c>
      <c r="H541" s="3"/>
      <c r="I541" s="21">
        <f t="shared" si="104"/>
        <v>2</v>
      </c>
      <c r="J541" s="3"/>
      <c r="K541" s="21">
        <f t="shared" si="105"/>
        <v>2</v>
      </c>
      <c r="L541" s="3"/>
      <c r="M541" s="22">
        <f t="shared" si="106"/>
        <v>2</v>
      </c>
      <c r="N541" s="1"/>
      <c r="O541" s="1"/>
      <c r="P541" s="1"/>
      <c r="Q541" s="1"/>
    </row>
    <row r="542" spans="1:17" x14ac:dyDescent="0.2">
      <c r="A542" s="1"/>
      <c r="B542" s="5"/>
      <c r="C542" s="2">
        <v>10</v>
      </c>
      <c r="D542" s="4"/>
      <c r="E542" s="21">
        <v>1</v>
      </c>
      <c r="F542" s="3"/>
      <c r="G542" s="21">
        <f t="shared" si="103"/>
        <v>1</v>
      </c>
      <c r="H542" s="6"/>
      <c r="I542" s="21">
        <f t="shared" si="104"/>
        <v>1</v>
      </c>
      <c r="J542" s="3"/>
      <c r="K542" s="21">
        <f t="shared" si="105"/>
        <v>1</v>
      </c>
      <c r="L542" s="6"/>
      <c r="M542" s="22">
        <f t="shared" si="106"/>
        <v>1</v>
      </c>
      <c r="N542" s="1"/>
      <c r="O542" s="1"/>
      <c r="P542" s="1"/>
      <c r="Q542" s="1"/>
    </row>
    <row r="543" spans="1:17" x14ac:dyDescent="0.2">
      <c r="A543" s="1"/>
      <c r="B543" s="19"/>
      <c r="C543" s="2" t="s">
        <v>4</v>
      </c>
      <c r="D543" s="4"/>
      <c r="E543" s="21">
        <v>1</v>
      </c>
      <c r="F543" s="4"/>
      <c r="G543" s="21">
        <f t="shared" si="103"/>
        <v>1</v>
      </c>
      <c r="H543" s="4"/>
      <c r="I543" s="21">
        <f t="shared" si="104"/>
        <v>1</v>
      </c>
      <c r="J543" s="4"/>
      <c r="K543" s="21">
        <f t="shared" si="105"/>
        <v>1</v>
      </c>
      <c r="L543" s="4"/>
      <c r="M543" s="22">
        <f t="shared" si="106"/>
        <v>1</v>
      </c>
      <c r="N543" s="1"/>
      <c r="O543" s="1"/>
      <c r="P543" s="1"/>
      <c r="Q543" s="1"/>
    </row>
    <row r="544" spans="1:17" x14ac:dyDescent="0.2">
      <c r="A544" s="1"/>
      <c r="B544" s="19"/>
      <c r="C544" s="2" t="s">
        <v>19</v>
      </c>
      <c r="D544" s="4"/>
      <c r="E544" s="21">
        <v>10</v>
      </c>
      <c r="F544" s="3"/>
      <c r="G544" s="21">
        <f>IF(F544=$D544,$E544,0)</f>
        <v>10</v>
      </c>
      <c r="H544" s="3"/>
      <c r="I544" s="21">
        <f t="shared" si="104"/>
        <v>10</v>
      </c>
      <c r="J544" s="3"/>
      <c r="K544" s="21">
        <f t="shared" si="105"/>
        <v>10</v>
      </c>
      <c r="L544" s="3"/>
      <c r="M544" s="22">
        <f t="shared" si="106"/>
        <v>10</v>
      </c>
      <c r="N544" s="1"/>
      <c r="O544" s="1"/>
      <c r="P544" s="1"/>
      <c r="Q544" s="1"/>
    </row>
    <row r="545" spans="1:17" x14ac:dyDescent="0.2">
      <c r="A545" s="1"/>
      <c r="B545" s="15"/>
      <c r="C545" s="16"/>
      <c r="D545" s="17"/>
      <c r="E545" s="20"/>
      <c r="F545" s="15"/>
      <c r="G545" s="20"/>
      <c r="H545" s="15"/>
      <c r="I545" s="20"/>
      <c r="J545" s="15"/>
      <c r="K545" s="20"/>
      <c r="L545" s="18"/>
      <c r="M545" s="20"/>
      <c r="N545" s="1"/>
      <c r="O545" s="1"/>
      <c r="P545" s="1"/>
      <c r="Q545" s="1"/>
    </row>
    <row r="546" spans="1:17" x14ac:dyDescent="0.2">
      <c r="A546" s="1"/>
      <c r="B546" s="39"/>
      <c r="C546" s="40"/>
      <c r="D546" s="40" t="s">
        <v>16</v>
      </c>
      <c r="E546" s="41"/>
      <c r="F546" s="42"/>
      <c r="G546" s="41">
        <f>SUM(G533:G544)</f>
        <v>112</v>
      </c>
      <c r="H546" s="42"/>
      <c r="I546" s="41">
        <f>SUM(I533:I544)</f>
        <v>112</v>
      </c>
      <c r="J546" s="42"/>
      <c r="K546" s="41">
        <f>SUM(K533:K544)</f>
        <v>112</v>
      </c>
      <c r="L546" s="43"/>
      <c r="M546" s="41">
        <f>SUM(M533:M544)</f>
        <v>112</v>
      </c>
      <c r="N546" s="1"/>
      <c r="O546" s="1"/>
      <c r="P546" s="1"/>
      <c r="Q546" s="1"/>
    </row>
    <row r="547" spans="1:17" x14ac:dyDescent="0.2">
      <c r="A547" s="1"/>
      <c r="B547" s="39"/>
      <c r="C547" s="40"/>
      <c r="D547" s="40" t="s">
        <v>5</v>
      </c>
      <c r="E547" s="41"/>
      <c r="F547" s="42"/>
      <c r="G547" s="41">
        <f>G546+G527</f>
        <v>1227</v>
      </c>
      <c r="H547" s="42"/>
      <c r="I547" s="41">
        <f>I546+I527</f>
        <v>1289</v>
      </c>
      <c r="J547" s="42"/>
      <c r="K547" s="41">
        <f>K546+K527</f>
        <v>1263</v>
      </c>
      <c r="L547" s="43"/>
      <c r="M547" s="41">
        <f>M546+M527</f>
        <v>1305</v>
      </c>
      <c r="N547" s="1"/>
      <c r="O547" s="1"/>
      <c r="P547" s="1"/>
      <c r="Q547" s="1"/>
    </row>
    <row r="548" spans="1:1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24" x14ac:dyDescent="0.3">
      <c r="A549" s="1"/>
      <c r="B549" s="53" t="s">
        <v>52</v>
      </c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1"/>
      <c r="O549" s="1"/>
      <c r="P549" s="1"/>
      <c r="Q549" s="1"/>
    </row>
    <row r="550" spans="1:17" ht="19" x14ac:dyDescent="0.25">
      <c r="A550" s="1"/>
      <c r="B550" s="34"/>
      <c r="C550" s="35"/>
      <c r="D550" s="35"/>
      <c r="E550" s="36"/>
      <c r="F550" s="51" t="s">
        <v>0</v>
      </c>
      <c r="G550" s="52"/>
      <c r="H550" s="51" t="s">
        <v>1</v>
      </c>
      <c r="I550" s="52"/>
      <c r="J550" s="51" t="s">
        <v>2</v>
      </c>
      <c r="K550" s="52"/>
      <c r="L550" s="51" t="s">
        <v>3</v>
      </c>
      <c r="M550" s="52"/>
      <c r="N550" s="1"/>
      <c r="O550" s="1"/>
      <c r="P550" s="1"/>
      <c r="Q550" s="1"/>
    </row>
    <row r="551" spans="1:17" ht="19" x14ac:dyDescent="0.25">
      <c r="A551" s="1"/>
      <c r="B551" s="49" t="s">
        <v>7</v>
      </c>
      <c r="C551" s="50"/>
      <c r="D551" s="50"/>
      <c r="E551" s="37" t="s">
        <v>6</v>
      </c>
      <c r="F551" s="38" t="s">
        <v>7</v>
      </c>
      <c r="G551" s="37" t="s">
        <v>6</v>
      </c>
      <c r="H551" s="38" t="s">
        <v>7</v>
      </c>
      <c r="I551" s="37" t="s">
        <v>6</v>
      </c>
      <c r="J551" s="38" t="s">
        <v>7</v>
      </c>
      <c r="K551" s="37" t="s">
        <v>6</v>
      </c>
      <c r="L551" s="38" t="s">
        <v>7</v>
      </c>
      <c r="M551" s="37" t="s">
        <v>6</v>
      </c>
      <c r="N551" s="1"/>
      <c r="O551" s="1"/>
      <c r="P551" s="1"/>
      <c r="Q551" s="1"/>
    </row>
    <row r="552" spans="1:17" x14ac:dyDescent="0.2">
      <c r="A552" s="1"/>
      <c r="B552" s="9"/>
      <c r="C552" s="10"/>
      <c r="D552" s="11"/>
      <c r="E552" s="12"/>
      <c r="F552" s="13"/>
      <c r="G552" s="12"/>
      <c r="H552" s="13"/>
      <c r="I552" s="12"/>
      <c r="J552" s="13"/>
      <c r="K552" s="12"/>
      <c r="L552" s="14"/>
      <c r="M552" s="12"/>
      <c r="N552" s="1"/>
      <c r="O552" s="1"/>
      <c r="P552" s="23"/>
      <c r="Q552" s="1"/>
    </row>
    <row r="553" spans="1:17" x14ac:dyDescent="0.2">
      <c r="A553" s="1"/>
      <c r="B553" s="5"/>
      <c r="C553" s="2">
        <v>1</v>
      </c>
      <c r="D553" s="4"/>
      <c r="E553" s="21">
        <v>25</v>
      </c>
      <c r="F553" s="4"/>
      <c r="G553" s="21">
        <f>IF(F553=$D553,$E553,0)</f>
        <v>25</v>
      </c>
      <c r="H553" s="4"/>
      <c r="I553" s="21">
        <f>IF(H553=$D553,$E553,0)</f>
        <v>25</v>
      </c>
      <c r="J553" s="4"/>
      <c r="K553" s="21">
        <f>IF(J553=$D553,$E553,0)</f>
        <v>25</v>
      </c>
      <c r="L553" s="4"/>
      <c r="M553" s="22">
        <f>IF(L553=$D553,$E553,0)</f>
        <v>25</v>
      </c>
      <c r="N553" s="1"/>
      <c r="O553" s="1"/>
      <c r="P553" s="30"/>
      <c r="Q553" s="1"/>
    </row>
    <row r="554" spans="1:17" x14ac:dyDescent="0.2">
      <c r="A554" s="1"/>
      <c r="B554" s="5"/>
      <c r="C554" s="2">
        <v>2</v>
      </c>
      <c r="D554" s="4"/>
      <c r="E554" s="21">
        <v>18</v>
      </c>
      <c r="F554" s="3"/>
      <c r="G554" s="21">
        <f t="shared" ref="G554:G563" si="107">IF(F554=$D554,$E554,0)</f>
        <v>18</v>
      </c>
      <c r="H554" s="3"/>
      <c r="I554" s="21">
        <f t="shared" ref="I554:I563" si="108">IF(H554=$D554,$E554,0)</f>
        <v>18</v>
      </c>
      <c r="J554" s="3"/>
      <c r="K554" s="21">
        <f t="shared" ref="K554:K563" si="109">IF(J554=$D554,$E554,0)</f>
        <v>18</v>
      </c>
      <c r="L554" s="3"/>
      <c r="M554" s="22">
        <f t="shared" ref="M554:M564" si="110">IF(L554=$D554,$E554,0)</f>
        <v>18</v>
      </c>
      <c r="N554" s="1"/>
      <c r="O554" s="1"/>
      <c r="P554" s="1"/>
      <c r="Q554" s="1"/>
    </row>
    <row r="555" spans="1:17" x14ac:dyDescent="0.2">
      <c r="A555" s="1"/>
      <c r="B555" s="5"/>
      <c r="C555" s="2">
        <v>3</v>
      </c>
      <c r="D555" s="4"/>
      <c r="E555" s="21">
        <v>15</v>
      </c>
      <c r="F555" s="3"/>
      <c r="G555" s="21">
        <f t="shared" si="107"/>
        <v>15</v>
      </c>
      <c r="H555" s="3"/>
      <c r="I555" s="21">
        <f t="shared" si="108"/>
        <v>15</v>
      </c>
      <c r="J555" s="3"/>
      <c r="K555" s="21">
        <f t="shared" si="109"/>
        <v>15</v>
      </c>
      <c r="L555" s="3"/>
      <c r="M555" s="22">
        <f t="shared" si="110"/>
        <v>15</v>
      </c>
      <c r="N555" s="1"/>
      <c r="O555" s="1"/>
      <c r="P555" s="1"/>
      <c r="Q555" s="1"/>
    </row>
    <row r="556" spans="1:17" x14ac:dyDescent="0.2">
      <c r="A556" s="1"/>
      <c r="B556" s="5"/>
      <c r="C556" s="2">
        <v>4</v>
      </c>
      <c r="D556" s="4"/>
      <c r="E556" s="21">
        <v>12</v>
      </c>
      <c r="F556" s="3"/>
      <c r="G556" s="21">
        <f t="shared" si="107"/>
        <v>12</v>
      </c>
      <c r="H556" s="3"/>
      <c r="I556" s="21">
        <f t="shared" si="108"/>
        <v>12</v>
      </c>
      <c r="J556" s="3"/>
      <c r="K556" s="21">
        <f t="shared" si="109"/>
        <v>12</v>
      </c>
      <c r="L556" s="3"/>
      <c r="M556" s="22">
        <f t="shared" si="110"/>
        <v>12</v>
      </c>
      <c r="N556" s="1"/>
      <c r="O556" s="1"/>
      <c r="P556" s="23"/>
      <c r="Q556" s="1"/>
    </row>
    <row r="557" spans="1:17" x14ac:dyDescent="0.2">
      <c r="A557" s="1"/>
      <c r="B557" s="5"/>
      <c r="C557" s="2">
        <v>5</v>
      </c>
      <c r="D557" s="4"/>
      <c r="E557" s="21">
        <v>10</v>
      </c>
      <c r="F557" s="3"/>
      <c r="G557" s="21">
        <f t="shared" si="107"/>
        <v>10</v>
      </c>
      <c r="H557" s="3"/>
      <c r="I557" s="21">
        <f t="shared" si="108"/>
        <v>10</v>
      </c>
      <c r="J557" s="3"/>
      <c r="K557" s="21">
        <f t="shared" si="109"/>
        <v>10</v>
      </c>
      <c r="L557" s="3"/>
      <c r="M557" s="22">
        <f t="shared" si="110"/>
        <v>10</v>
      </c>
      <c r="N557" s="1"/>
      <c r="O557" s="1"/>
      <c r="P557" s="32"/>
      <c r="Q557" s="1"/>
    </row>
    <row r="558" spans="1:17" x14ac:dyDescent="0.2">
      <c r="A558" s="1"/>
      <c r="B558" s="5"/>
      <c r="C558" s="2">
        <v>6</v>
      </c>
      <c r="D558" s="4"/>
      <c r="E558" s="21">
        <v>8</v>
      </c>
      <c r="F558" s="3"/>
      <c r="G558" s="21">
        <f t="shared" si="107"/>
        <v>8</v>
      </c>
      <c r="H558" s="3"/>
      <c r="I558" s="21">
        <f t="shared" si="108"/>
        <v>8</v>
      </c>
      <c r="J558" s="3"/>
      <c r="K558" s="21">
        <f t="shared" si="109"/>
        <v>8</v>
      </c>
      <c r="L558" s="3"/>
      <c r="M558" s="22">
        <f t="shared" si="110"/>
        <v>8</v>
      </c>
      <c r="N558" s="1"/>
      <c r="O558" s="1"/>
      <c r="P558" s="32"/>
      <c r="Q558" s="1"/>
    </row>
    <row r="559" spans="1:17" x14ac:dyDescent="0.2">
      <c r="A559" s="1"/>
      <c r="B559" s="5"/>
      <c r="C559" s="2">
        <v>7</v>
      </c>
      <c r="D559" s="4"/>
      <c r="E559" s="21">
        <v>6</v>
      </c>
      <c r="F559" s="3"/>
      <c r="G559" s="21">
        <f t="shared" si="107"/>
        <v>6</v>
      </c>
      <c r="H559" s="4"/>
      <c r="I559" s="21">
        <f t="shared" si="108"/>
        <v>6</v>
      </c>
      <c r="J559" s="3"/>
      <c r="K559" s="21">
        <f t="shared" si="109"/>
        <v>6</v>
      </c>
      <c r="L559" s="3"/>
      <c r="M559" s="22">
        <f t="shared" si="110"/>
        <v>6</v>
      </c>
      <c r="N559" s="1"/>
      <c r="O559" s="1"/>
      <c r="P559" s="1"/>
      <c r="Q559" s="1"/>
    </row>
    <row r="560" spans="1:17" x14ac:dyDescent="0.2">
      <c r="A560" s="1"/>
      <c r="B560" s="5"/>
      <c r="C560" s="2">
        <v>8</v>
      </c>
      <c r="D560" s="4"/>
      <c r="E560" s="21">
        <v>4</v>
      </c>
      <c r="F560" s="3"/>
      <c r="G560" s="21">
        <f t="shared" si="107"/>
        <v>4</v>
      </c>
      <c r="H560" s="3"/>
      <c r="I560" s="21">
        <f t="shared" si="108"/>
        <v>4</v>
      </c>
      <c r="J560" s="3"/>
      <c r="K560" s="21">
        <f t="shared" si="109"/>
        <v>4</v>
      </c>
      <c r="L560" s="4"/>
      <c r="M560" s="22">
        <f t="shared" si="110"/>
        <v>4</v>
      </c>
      <c r="N560" s="1"/>
      <c r="O560" s="1"/>
      <c r="P560" s="32"/>
      <c r="Q560" s="1"/>
    </row>
    <row r="561" spans="1:17" x14ac:dyDescent="0.2">
      <c r="A561" s="1"/>
      <c r="B561" s="5"/>
      <c r="C561" s="2">
        <v>9</v>
      </c>
      <c r="D561" s="4"/>
      <c r="E561" s="21">
        <v>2</v>
      </c>
      <c r="F561" s="3"/>
      <c r="G561" s="21">
        <f t="shared" si="107"/>
        <v>2</v>
      </c>
      <c r="H561" s="3"/>
      <c r="I561" s="21">
        <f t="shared" si="108"/>
        <v>2</v>
      </c>
      <c r="J561" s="3"/>
      <c r="K561" s="21">
        <f t="shared" si="109"/>
        <v>2</v>
      </c>
      <c r="L561" s="3"/>
      <c r="M561" s="22">
        <f t="shared" si="110"/>
        <v>2</v>
      </c>
      <c r="N561" s="1"/>
      <c r="O561" s="1"/>
      <c r="P561" s="32"/>
      <c r="Q561" s="1"/>
    </row>
    <row r="562" spans="1:17" x14ac:dyDescent="0.2">
      <c r="A562" s="1"/>
      <c r="B562" s="5"/>
      <c r="C562" s="2">
        <v>10</v>
      </c>
      <c r="D562" s="4"/>
      <c r="E562" s="21">
        <v>1</v>
      </c>
      <c r="F562" s="3"/>
      <c r="G562" s="21">
        <f t="shared" si="107"/>
        <v>1</v>
      </c>
      <c r="H562" s="3"/>
      <c r="I562" s="21">
        <f t="shared" si="108"/>
        <v>1</v>
      </c>
      <c r="J562" s="3"/>
      <c r="K562" s="21">
        <f t="shared" si="109"/>
        <v>1</v>
      </c>
      <c r="L562" s="6"/>
      <c r="M562" s="22">
        <f t="shared" si="110"/>
        <v>1</v>
      </c>
      <c r="N562" s="1"/>
      <c r="O562" s="1"/>
      <c r="P562" s="32"/>
      <c r="Q562" s="1"/>
    </row>
    <row r="563" spans="1:17" x14ac:dyDescent="0.2">
      <c r="A563" s="1"/>
      <c r="B563" s="19"/>
      <c r="C563" s="2" t="s">
        <v>4</v>
      </c>
      <c r="D563" s="4"/>
      <c r="E563" s="21">
        <v>1</v>
      </c>
      <c r="F563" s="4"/>
      <c r="G563" s="21">
        <f t="shared" si="107"/>
        <v>1</v>
      </c>
      <c r="H563" s="4"/>
      <c r="I563" s="21">
        <f t="shared" si="108"/>
        <v>1</v>
      </c>
      <c r="J563" s="4"/>
      <c r="K563" s="21">
        <f t="shared" si="109"/>
        <v>1</v>
      </c>
      <c r="L563" s="4"/>
      <c r="M563" s="22">
        <f t="shared" si="110"/>
        <v>1</v>
      </c>
      <c r="N563" s="1"/>
      <c r="O563" s="1"/>
      <c r="P563" s="1"/>
      <c r="Q563" s="1"/>
    </row>
    <row r="564" spans="1:17" x14ac:dyDescent="0.2">
      <c r="A564" s="1"/>
      <c r="B564" s="19"/>
      <c r="C564" s="2" t="s">
        <v>19</v>
      </c>
      <c r="D564" s="4"/>
      <c r="E564" s="21">
        <v>10</v>
      </c>
      <c r="F564" s="3"/>
      <c r="G564" s="21">
        <f>IF(F564=$D564,$E564,0)</f>
        <v>10</v>
      </c>
      <c r="H564" s="3"/>
      <c r="I564" s="21">
        <f>IF(H564=$D564,$E564,0)+10</f>
        <v>20</v>
      </c>
      <c r="J564" s="3"/>
      <c r="K564" s="21">
        <f>IF(J564=$D564,$E564,0)+10</f>
        <v>20</v>
      </c>
      <c r="L564" s="3"/>
      <c r="M564" s="22">
        <f t="shared" si="110"/>
        <v>10</v>
      </c>
      <c r="N564" s="1"/>
      <c r="O564" s="1"/>
      <c r="P564" s="1"/>
      <c r="Q564" s="1"/>
    </row>
    <row r="565" spans="1:17" x14ac:dyDescent="0.2">
      <c r="A565" s="1"/>
      <c r="B565" s="15"/>
      <c r="C565" s="16"/>
      <c r="D565" s="17"/>
      <c r="E565" s="20"/>
      <c r="F565" s="15"/>
      <c r="G565" s="20"/>
      <c r="H565" s="15"/>
      <c r="I565" s="20"/>
      <c r="J565" s="15"/>
      <c r="K565" s="20"/>
      <c r="L565" s="18"/>
      <c r="M565" s="20"/>
      <c r="N565" s="1"/>
      <c r="O565" s="1"/>
      <c r="P565" s="1"/>
      <c r="Q565" s="1"/>
    </row>
    <row r="566" spans="1:17" x14ac:dyDescent="0.2">
      <c r="A566" s="1"/>
      <c r="B566" s="39"/>
      <c r="C566" s="40"/>
      <c r="D566" s="40" t="s">
        <v>16</v>
      </c>
      <c r="E566" s="41"/>
      <c r="F566" s="42"/>
      <c r="G566" s="41">
        <f>SUM(G553:G564)</f>
        <v>112</v>
      </c>
      <c r="H566" s="42"/>
      <c r="I566" s="41">
        <f>SUM(I553:I564)</f>
        <v>122</v>
      </c>
      <c r="J566" s="42"/>
      <c r="K566" s="41">
        <f>SUM(K553:K564)</f>
        <v>122</v>
      </c>
      <c r="L566" s="43"/>
      <c r="M566" s="41">
        <f>SUM(M553:M564)</f>
        <v>112</v>
      </c>
      <c r="N566" s="1"/>
      <c r="O566" s="1"/>
      <c r="P566" s="1"/>
      <c r="Q566" s="1"/>
    </row>
    <row r="567" spans="1:17" x14ac:dyDescent="0.2">
      <c r="A567" s="1"/>
      <c r="B567" s="39"/>
      <c r="C567" s="40"/>
      <c r="D567" s="40" t="s">
        <v>5</v>
      </c>
      <c r="E567" s="41"/>
      <c r="F567" s="42"/>
      <c r="G567" s="41">
        <f>G566+G547</f>
        <v>1339</v>
      </c>
      <c r="H567" s="42"/>
      <c r="I567" s="41">
        <f>I566+I547</f>
        <v>1411</v>
      </c>
      <c r="J567" s="42"/>
      <c r="K567" s="41">
        <f>K566+K547</f>
        <v>1385</v>
      </c>
      <c r="L567" s="43"/>
      <c r="M567" s="41">
        <f>M566+M547</f>
        <v>1417</v>
      </c>
      <c r="N567" s="1"/>
      <c r="O567" s="1"/>
      <c r="P567" s="1"/>
      <c r="Q567" s="1"/>
    </row>
    <row r="568" spans="1:1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24" x14ac:dyDescent="0.3">
      <c r="A569" s="1"/>
      <c r="B569" s="53" t="s">
        <v>53</v>
      </c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1"/>
      <c r="O569" s="1"/>
      <c r="P569" s="1"/>
      <c r="Q569" s="1"/>
    </row>
    <row r="570" spans="1:17" ht="19" x14ac:dyDescent="0.25">
      <c r="A570" s="1"/>
      <c r="B570" s="34"/>
      <c r="C570" s="35"/>
      <c r="D570" s="35"/>
      <c r="E570" s="36"/>
      <c r="F570" s="51" t="s">
        <v>0</v>
      </c>
      <c r="G570" s="52"/>
      <c r="H570" s="51" t="s">
        <v>1</v>
      </c>
      <c r="I570" s="52"/>
      <c r="J570" s="51" t="s">
        <v>2</v>
      </c>
      <c r="K570" s="52"/>
      <c r="L570" s="51" t="s">
        <v>3</v>
      </c>
      <c r="M570" s="52"/>
      <c r="N570" s="1"/>
      <c r="O570" s="1"/>
      <c r="P570" s="1"/>
      <c r="Q570" s="1"/>
    </row>
    <row r="571" spans="1:17" ht="19" x14ac:dyDescent="0.25">
      <c r="A571" s="1"/>
      <c r="B571" s="49" t="s">
        <v>7</v>
      </c>
      <c r="C571" s="50"/>
      <c r="D571" s="50"/>
      <c r="E571" s="37" t="s">
        <v>6</v>
      </c>
      <c r="F571" s="38" t="s">
        <v>7</v>
      </c>
      <c r="G571" s="37" t="s">
        <v>6</v>
      </c>
      <c r="H571" s="38" t="s">
        <v>7</v>
      </c>
      <c r="I571" s="37" t="s">
        <v>6</v>
      </c>
      <c r="J571" s="38" t="s">
        <v>7</v>
      </c>
      <c r="K571" s="37" t="s">
        <v>6</v>
      </c>
      <c r="L571" s="38" t="s">
        <v>7</v>
      </c>
      <c r="M571" s="37" t="s">
        <v>6</v>
      </c>
      <c r="N571" s="1"/>
      <c r="O571" s="1"/>
      <c r="P571" s="1"/>
      <c r="Q571" s="1"/>
    </row>
    <row r="572" spans="1:17" x14ac:dyDescent="0.2">
      <c r="A572" s="1"/>
      <c r="B572" s="9"/>
      <c r="C572" s="10"/>
      <c r="D572" s="11"/>
      <c r="E572" s="12"/>
      <c r="F572" s="13"/>
      <c r="G572" s="12"/>
      <c r="H572" s="13"/>
      <c r="I572" s="12"/>
      <c r="J572" s="13"/>
      <c r="K572" s="12"/>
      <c r="L572" s="14"/>
      <c r="M572" s="12"/>
      <c r="N572" s="1"/>
      <c r="O572" s="1"/>
      <c r="P572" s="1"/>
      <c r="Q572" s="1"/>
    </row>
    <row r="573" spans="1:17" x14ac:dyDescent="0.2">
      <c r="A573" s="1"/>
      <c r="B573" s="5"/>
      <c r="C573" s="2">
        <v>1</v>
      </c>
      <c r="D573" s="4"/>
      <c r="E573" s="21">
        <v>25</v>
      </c>
      <c r="F573" s="4"/>
      <c r="G573" s="21">
        <f>IF(F573=$D573,$E573,0)</f>
        <v>25</v>
      </c>
      <c r="H573" s="3"/>
      <c r="I573" s="21">
        <f>IF(H573=$D573,$E573,0)</f>
        <v>25</v>
      </c>
      <c r="J573" s="4"/>
      <c r="K573" s="21">
        <f>IF(J573=$D573,$E573,0)</f>
        <v>25</v>
      </c>
      <c r="L573" s="3"/>
      <c r="M573" s="22">
        <f>IF(L573=$D573,$E573,0)</f>
        <v>25</v>
      </c>
      <c r="N573" s="1"/>
      <c r="O573" s="1"/>
      <c r="P573" s="1"/>
      <c r="Q573" s="1"/>
    </row>
    <row r="574" spans="1:17" x14ac:dyDescent="0.2">
      <c r="A574" s="1"/>
      <c r="B574" s="5"/>
      <c r="C574" s="2">
        <v>2</v>
      </c>
      <c r="D574" s="4"/>
      <c r="E574" s="21">
        <v>18</v>
      </c>
      <c r="F574" s="3"/>
      <c r="G574" s="21">
        <f t="shared" ref="G574:G583" si="111">IF(F574=$D574,$E574,0)</f>
        <v>18</v>
      </c>
      <c r="H574" s="3"/>
      <c r="I574" s="21">
        <f t="shared" ref="I574:I584" si="112">IF(H574=$D574,$E574,0)</f>
        <v>18</v>
      </c>
      <c r="J574" s="3"/>
      <c r="K574" s="21">
        <f t="shared" ref="K574:K584" si="113">IF(J574=$D574,$E574,0)</f>
        <v>18</v>
      </c>
      <c r="L574" s="3"/>
      <c r="M574" s="22">
        <f t="shared" ref="M574:M584" si="114">IF(L574=$D574,$E574,0)</f>
        <v>18</v>
      </c>
      <c r="N574" s="1"/>
      <c r="O574" s="1"/>
      <c r="P574" s="1"/>
      <c r="Q574" s="1"/>
    </row>
    <row r="575" spans="1:17" x14ac:dyDescent="0.2">
      <c r="A575" s="1"/>
      <c r="B575" s="5"/>
      <c r="C575" s="2">
        <v>3</v>
      </c>
      <c r="D575" s="4"/>
      <c r="E575" s="21">
        <v>15</v>
      </c>
      <c r="F575" s="3"/>
      <c r="G575" s="21">
        <f t="shared" si="111"/>
        <v>15</v>
      </c>
      <c r="H575" s="3"/>
      <c r="I575" s="21">
        <f t="shared" si="112"/>
        <v>15</v>
      </c>
      <c r="J575" s="3"/>
      <c r="K575" s="21">
        <f t="shared" si="113"/>
        <v>15</v>
      </c>
      <c r="L575" s="4"/>
      <c r="M575" s="22">
        <f t="shared" si="114"/>
        <v>15</v>
      </c>
      <c r="N575" s="1"/>
      <c r="O575" s="1"/>
      <c r="P575" s="1"/>
      <c r="Q575" s="1"/>
    </row>
    <row r="576" spans="1:17" x14ac:dyDescent="0.2">
      <c r="A576" s="1"/>
      <c r="B576" s="5"/>
      <c r="C576" s="2">
        <v>4</v>
      </c>
      <c r="D576" s="4"/>
      <c r="E576" s="21">
        <v>12</v>
      </c>
      <c r="F576" s="3"/>
      <c r="G576" s="21">
        <f t="shared" si="111"/>
        <v>12</v>
      </c>
      <c r="H576" s="3"/>
      <c r="I576" s="21">
        <f t="shared" si="112"/>
        <v>12</v>
      </c>
      <c r="J576" s="3"/>
      <c r="K576" s="21">
        <f t="shared" si="113"/>
        <v>12</v>
      </c>
      <c r="L576" s="3"/>
      <c r="M576" s="22">
        <f t="shared" si="114"/>
        <v>12</v>
      </c>
      <c r="N576" s="1"/>
      <c r="O576" s="1"/>
      <c r="P576" s="1"/>
      <c r="Q576" s="1"/>
    </row>
    <row r="577" spans="1:17" x14ac:dyDescent="0.2">
      <c r="A577" s="1"/>
      <c r="B577" s="5"/>
      <c r="C577" s="2">
        <v>5</v>
      </c>
      <c r="D577" s="4"/>
      <c r="E577" s="21">
        <v>10</v>
      </c>
      <c r="F577" s="3"/>
      <c r="G577" s="21">
        <f t="shared" si="111"/>
        <v>10</v>
      </c>
      <c r="H577" s="3"/>
      <c r="I577" s="21">
        <f t="shared" si="112"/>
        <v>10</v>
      </c>
      <c r="J577" s="3"/>
      <c r="K577" s="21">
        <f t="shared" si="113"/>
        <v>10</v>
      </c>
      <c r="L577" s="3"/>
      <c r="M577" s="22">
        <f t="shared" si="114"/>
        <v>10</v>
      </c>
      <c r="N577" s="1"/>
      <c r="O577" s="1"/>
      <c r="P577" s="1"/>
      <c r="Q577" s="1"/>
    </row>
    <row r="578" spans="1:17" x14ac:dyDescent="0.2">
      <c r="A578" s="1"/>
      <c r="B578" s="5"/>
      <c r="C578" s="2">
        <v>6</v>
      </c>
      <c r="D578" s="4"/>
      <c r="E578" s="21">
        <v>8</v>
      </c>
      <c r="F578" s="3"/>
      <c r="G578" s="21">
        <f t="shared" si="111"/>
        <v>8</v>
      </c>
      <c r="H578" s="3"/>
      <c r="I578" s="21">
        <f t="shared" si="112"/>
        <v>8</v>
      </c>
      <c r="J578" s="3"/>
      <c r="K578" s="21">
        <f t="shared" si="113"/>
        <v>8</v>
      </c>
      <c r="L578" s="3"/>
      <c r="M578" s="22">
        <f t="shared" si="114"/>
        <v>8</v>
      </c>
      <c r="N578" s="1"/>
      <c r="O578" s="1"/>
      <c r="P578" s="1"/>
      <c r="Q578" s="1"/>
    </row>
    <row r="579" spans="1:17" x14ac:dyDescent="0.2">
      <c r="A579" s="1"/>
      <c r="B579" s="5"/>
      <c r="C579" s="2">
        <v>7</v>
      </c>
      <c r="D579" s="4"/>
      <c r="E579" s="21">
        <v>6</v>
      </c>
      <c r="F579" s="3"/>
      <c r="G579" s="21">
        <f t="shared" si="111"/>
        <v>6</v>
      </c>
      <c r="H579" s="3"/>
      <c r="I579" s="21">
        <f t="shared" si="112"/>
        <v>6</v>
      </c>
      <c r="J579" s="3"/>
      <c r="K579" s="21">
        <f t="shared" si="113"/>
        <v>6</v>
      </c>
      <c r="L579" s="3"/>
      <c r="M579" s="22">
        <f t="shared" si="114"/>
        <v>6</v>
      </c>
      <c r="N579" s="1"/>
      <c r="O579" s="1"/>
      <c r="P579" s="1"/>
      <c r="Q579" s="1"/>
    </row>
    <row r="580" spans="1:17" x14ac:dyDescent="0.2">
      <c r="A580" s="1"/>
      <c r="B580" s="5"/>
      <c r="C580" s="2">
        <v>8</v>
      </c>
      <c r="D580" s="4"/>
      <c r="E580" s="21">
        <v>4</v>
      </c>
      <c r="F580" s="3"/>
      <c r="G580" s="21">
        <f t="shared" si="111"/>
        <v>4</v>
      </c>
      <c r="H580" s="3"/>
      <c r="I580" s="21">
        <f t="shared" si="112"/>
        <v>4</v>
      </c>
      <c r="J580" s="3"/>
      <c r="K580" s="21">
        <f t="shared" si="113"/>
        <v>4</v>
      </c>
      <c r="L580" s="4"/>
      <c r="M580" s="22">
        <f t="shared" si="114"/>
        <v>4</v>
      </c>
      <c r="N580" s="1"/>
      <c r="O580" s="1"/>
      <c r="P580" s="1"/>
      <c r="Q580" s="1"/>
    </row>
    <row r="581" spans="1:17" x14ac:dyDescent="0.2">
      <c r="A581" s="1"/>
      <c r="B581" s="5"/>
      <c r="C581" s="2">
        <v>9</v>
      </c>
      <c r="D581" s="4"/>
      <c r="E581" s="21">
        <v>2</v>
      </c>
      <c r="F581" s="3"/>
      <c r="G581" s="21">
        <f t="shared" si="111"/>
        <v>2</v>
      </c>
      <c r="H581" s="3"/>
      <c r="I581" s="21">
        <f t="shared" si="112"/>
        <v>2</v>
      </c>
      <c r="J581" s="3"/>
      <c r="K581" s="21">
        <f t="shared" si="113"/>
        <v>2</v>
      </c>
      <c r="L581" s="3"/>
      <c r="M581" s="22">
        <f t="shared" si="114"/>
        <v>2</v>
      </c>
      <c r="N581" s="1"/>
      <c r="O581" s="1"/>
      <c r="P581" s="1"/>
      <c r="Q581" s="1"/>
    </row>
    <row r="582" spans="1:17" x14ac:dyDescent="0.2">
      <c r="A582" s="1"/>
      <c r="B582" s="5"/>
      <c r="C582" s="2">
        <v>10</v>
      </c>
      <c r="D582" s="4"/>
      <c r="E582" s="21">
        <v>1</v>
      </c>
      <c r="F582" s="3"/>
      <c r="G582" s="21">
        <f t="shared" si="111"/>
        <v>1</v>
      </c>
      <c r="H582" s="3"/>
      <c r="I582" s="21">
        <f t="shared" si="112"/>
        <v>1</v>
      </c>
      <c r="J582" s="3"/>
      <c r="K582" s="21">
        <f t="shared" si="113"/>
        <v>1</v>
      </c>
      <c r="L582" s="6"/>
      <c r="M582" s="22">
        <f t="shared" si="114"/>
        <v>1</v>
      </c>
      <c r="N582" s="1"/>
      <c r="O582" s="1"/>
      <c r="P582" s="1"/>
      <c r="Q582" s="1"/>
    </row>
    <row r="583" spans="1:17" x14ac:dyDescent="0.2">
      <c r="A583" s="1"/>
      <c r="B583" s="19"/>
      <c r="C583" s="2" t="s">
        <v>4</v>
      </c>
      <c r="D583" s="4"/>
      <c r="E583" s="21">
        <v>1</v>
      </c>
      <c r="F583" s="4"/>
      <c r="G583" s="21">
        <f t="shared" si="111"/>
        <v>1</v>
      </c>
      <c r="H583" s="3"/>
      <c r="I583" s="21">
        <f t="shared" si="112"/>
        <v>1</v>
      </c>
      <c r="J583" s="4"/>
      <c r="K583" s="21">
        <f t="shared" si="113"/>
        <v>1</v>
      </c>
      <c r="L583" s="4"/>
      <c r="M583" s="22">
        <f t="shared" si="114"/>
        <v>1</v>
      </c>
      <c r="N583" s="1"/>
      <c r="O583" s="1"/>
      <c r="P583" s="1"/>
      <c r="Q583" s="1"/>
    </row>
    <row r="584" spans="1:17" x14ac:dyDescent="0.2">
      <c r="A584" s="1"/>
      <c r="B584" s="19"/>
      <c r="C584" s="2" t="s">
        <v>19</v>
      </c>
      <c r="D584" s="4"/>
      <c r="E584" s="21">
        <v>10</v>
      </c>
      <c r="F584" s="3"/>
      <c r="G584" s="21">
        <f>IF(F584=$D584,$E584,0)</f>
        <v>10</v>
      </c>
      <c r="H584" s="3"/>
      <c r="I584" s="21">
        <f t="shared" si="112"/>
        <v>10</v>
      </c>
      <c r="J584" s="3"/>
      <c r="K584" s="21">
        <f t="shared" si="113"/>
        <v>10</v>
      </c>
      <c r="L584" s="3"/>
      <c r="M584" s="22">
        <f t="shared" si="114"/>
        <v>10</v>
      </c>
      <c r="N584" s="1"/>
      <c r="O584" s="1"/>
      <c r="P584" s="1"/>
      <c r="Q584" s="1"/>
    </row>
    <row r="585" spans="1:17" x14ac:dyDescent="0.2">
      <c r="A585" s="1"/>
      <c r="B585" s="15"/>
      <c r="C585" s="16"/>
      <c r="D585" s="17"/>
      <c r="E585" s="20"/>
      <c r="F585" s="15"/>
      <c r="G585" s="20"/>
      <c r="H585" s="15"/>
      <c r="I585" s="20"/>
      <c r="J585" s="15"/>
      <c r="K585" s="20"/>
      <c r="L585" s="18"/>
      <c r="M585" s="20"/>
      <c r="N585" s="1"/>
      <c r="O585" s="1"/>
      <c r="P585" s="1"/>
      <c r="Q585" s="1"/>
    </row>
    <row r="586" spans="1:17" x14ac:dyDescent="0.2">
      <c r="A586" s="1"/>
      <c r="B586" s="39"/>
      <c r="C586" s="40"/>
      <c r="D586" s="40" t="s">
        <v>16</v>
      </c>
      <c r="E586" s="41"/>
      <c r="F586" s="42"/>
      <c r="G586" s="41">
        <f>SUM(G573:G584)</f>
        <v>112</v>
      </c>
      <c r="H586" s="42"/>
      <c r="I586" s="41">
        <f>SUM(I573:I584)</f>
        <v>112</v>
      </c>
      <c r="J586" s="42"/>
      <c r="K586" s="41">
        <f>SUM(K573:K584)</f>
        <v>112</v>
      </c>
      <c r="L586" s="43"/>
      <c r="M586" s="41">
        <f>SUM(M573:M584)</f>
        <v>112</v>
      </c>
      <c r="N586" s="1"/>
      <c r="O586" s="1"/>
      <c r="P586" s="1"/>
      <c r="Q586" s="1"/>
    </row>
    <row r="587" spans="1:17" x14ac:dyDescent="0.2">
      <c r="A587" s="1"/>
      <c r="B587" s="39"/>
      <c r="C587" s="40"/>
      <c r="D587" s="40" t="s">
        <v>5</v>
      </c>
      <c r="E587" s="41"/>
      <c r="F587" s="42"/>
      <c r="G587" s="41">
        <f>G586+G567</f>
        <v>1451</v>
      </c>
      <c r="H587" s="42"/>
      <c r="I587" s="41">
        <f>I586+I567</f>
        <v>1523</v>
      </c>
      <c r="J587" s="42"/>
      <c r="K587" s="41">
        <f>K586+K567</f>
        <v>1497</v>
      </c>
      <c r="L587" s="43"/>
      <c r="M587" s="41">
        <f>M586+M567</f>
        <v>1529</v>
      </c>
      <c r="N587" s="1"/>
      <c r="O587" s="1"/>
      <c r="P587" s="1"/>
      <c r="Q587" s="1"/>
    </row>
    <row r="588" spans="1:1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24" x14ac:dyDescent="0.3">
      <c r="A589" s="1"/>
      <c r="B589" s="53" t="s">
        <v>54</v>
      </c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1"/>
      <c r="O589" s="1"/>
      <c r="P589" s="1"/>
      <c r="Q589" s="1"/>
    </row>
    <row r="590" spans="1:17" ht="19" x14ac:dyDescent="0.25">
      <c r="A590" s="1"/>
      <c r="B590" s="34"/>
      <c r="C590" s="35"/>
      <c r="D590" s="35"/>
      <c r="E590" s="36"/>
      <c r="F590" s="51" t="s">
        <v>0</v>
      </c>
      <c r="G590" s="52"/>
      <c r="H590" s="51" t="s">
        <v>1</v>
      </c>
      <c r="I590" s="52"/>
      <c r="J590" s="51" t="s">
        <v>2</v>
      </c>
      <c r="K590" s="52"/>
      <c r="L590" s="51" t="s">
        <v>3</v>
      </c>
      <c r="M590" s="52"/>
      <c r="N590" s="1"/>
      <c r="O590" s="1"/>
      <c r="P590" s="1"/>
      <c r="Q590" s="1"/>
    </row>
    <row r="591" spans="1:17" ht="19" x14ac:dyDescent="0.25">
      <c r="A591" s="1"/>
      <c r="B591" s="49" t="s">
        <v>7</v>
      </c>
      <c r="C591" s="50"/>
      <c r="D591" s="50"/>
      <c r="E591" s="37" t="s">
        <v>6</v>
      </c>
      <c r="F591" s="38" t="s">
        <v>7</v>
      </c>
      <c r="G591" s="37" t="s">
        <v>6</v>
      </c>
      <c r="H591" s="38" t="s">
        <v>7</v>
      </c>
      <c r="I591" s="37" t="s">
        <v>6</v>
      </c>
      <c r="J591" s="38" t="s">
        <v>7</v>
      </c>
      <c r="K591" s="37" t="s">
        <v>6</v>
      </c>
      <c r="L591" s="38" t="s">
        <v>7</v>
      </c>
      <c r="M591" s="37" t="s">
        <v>6</v>
      </c>
      <c r="N591" s="1"/>
      <c r="O591" s="1"/>
      <c r="P591" s="1"/>
      <c r="Q591" s="1"/>
    </row>
    <row r="592" spans="1:17" x14ac:dyDescent="0.2">
      <c r="A592" s="1"/>
      <c r="B592" s="9"/>
      <c r="C592" s="10"/>
      <c r="D592" s="11"/>
      <c r="E592" s="12"/>
      <c r="F592" s="13"/>
      <c r="G592" s="12"/>
      <c r="H592" s="13"/>
      <c r="I592" s="12"/>
      <c r="J592" s="13"/>
      <c r="K592" s="12"/>
      <c r="L592" s="14"/>
      <c r="M592" s="12"/>
      <c r="N592" s="1"/>
      <c r="O592" s="1"/>
      <c r="P592" s="1"/>
      <c r="Q592" s="1"/>
    </row>
    <row r="593" spans="1:17" x14ac:dyDescent="0.2">
      <c r="A593" s="1"/>
      <c r="B593" s="5"/>
      <c r="C593" s="2">
        <v>1</v>
      </c>
      <c r="D593" s="4"/>
      <c r="E593" s="21">
        <v>25</v>
      </c>
      <c r="F593" s="4"/>
      <c r="G593" s="21">
        <f>IF(F593=$D593,$E593,0)</f>
        <v>25</v>
      </c>
      <c r="H593" s="4"/>
      <c r="I593" s="21">
        <f>IF(H593=$D593,$E593,0)</f>
        <v>25</v>
      </c>
      <c r="J593" s="4"/>
      <c r="K593" s="21">
        <f>IF(J593=$D593,$E593,0)</f>
        <v>25</v>
      </c>
      <c r="L593" s="4"/>
      <c r="M593" s="22">
        <f>IF(L593=$D593,$E593,0)</f>
        <v>25</v>
      </c>
      <c r="N593" s="1"/>
      <c r="O593" s="1"/>
      <c r="P593" s="1"/>
      <c r="Q593" s="1"/>
    </row>
    <row r="594" spans="1:17" x14ac:dyDescent="0.2">
      <c r="A594" s="1"/>
      <c r="B594" s="5"/>
      <c r="C594" s="2">
        <v>2</v>
      </c>
      <c r="D594" s="4"/>
      <c r="E594" s="21">
        <v>18</v>
      </c>
      <c r="F594" s="3"/>
      <c r="G594" s="21">
        <f t="shared" ref="G594:G603" si="115">IF(F594=$D594,$E594,0)</f>
        <v>18</v>
      </c>
      <c r="H594" s="3"/>
      <c r="I594" s="21">
        <f t="shared" ref="I594:I604" si="116">IF(H594=$D594,$E594,0)</f>
        <v>18</v>
      </c>
      <c r="J594" s="3"/>
      <c r="K594" s="21">
        <f t="shared" ref="K594:K603" si="117">IF(J594=$D594,$E594,0)</f>
        <v>18</v>
      </c>
      <c r="L594" s="3"/>
      <c r="M594" s="22">
        <f t="shared" ref="M594:M604" si="118">IF(L594=$D594,$E594,0)</f>
        <v>18</v>
      </c>
      <c r="N594" s="1"/>
      <c r="O594" s="1"/>
      <c r="P594" s="1"/>
      <c r="Q594" s="1"/>
    </row>
    <row r="595" spans="1:17" x14ac:dyDescent="0.2">
      <c r="A595" s="1"/>
      <c r="B595" s="5"/>
      <c r="C595" s="2">
        <v>3</v>
      </c>
      <c r="D595" s="4"/>
      <c r="E595" s="21">
        <v>15</v>
      </c>
      <c r="F595" s="3"/>
      <c r="G595" s="21">
        <f t="shared" si="115"/>
        <v>15</v>
      </c>
      <c r="H595" s="3"/>
      <c r="I595" s="21">
        <f t="shared" si="116"/>
        <v>15</v>
      </c>
      <c r="J595" s="3"/>
      <c r="K595" s="21">
        <f t="shared" si="117"/>
        <v>15</v>
      </c>
      <c r="L595" s="3"/>
      <c r="M595" s="22">
        <f t="shared" si="118"/>
        <v>15</v>
      </c>
      <c r="N595" s="1"/>
      <c r="O595" s="1"/>
      <c r="P595" s="1"/>
      <c r="Q595" s="1"/>
    </row>
    <row r="596" spans="1:17" x14ac:dyDescent="0.2">
      <c r="A596" s="1"/>
      <c r="B596" s="5"/>
      <c r="C596" s="2">
        <v>4</v>
      </c>
      <c r="D596" s="4"/>
      <c r="E596" s="21">
        <v>12</v>
      </c>
      <c r="F596" s="3"/>
      <c r="G596" s="21">
        <f t="shared" si="115"/>
        <v>12</v>
      </c>
      <c r="H596" s="3"/>
      <c r="I596" s="21">
        <f t="shared" si="116"/>
        <v>12</v>
      </c>
      <c r="J596" s="3"/>
      <c r="K596" s="21">
        <f t="shared" si="117"/>
        <v>12</v>
      </c>
      <c r="L596" s="3"/>
      <c r="M596" s="22">
        <f t="shared" si="118"/>
        <v>12</v>
      </c>
      <c r="N596" s="1"/>
      <c r="O596" s="1"/>
      <c r="P596" s="1"/>
      <c r="Q596" s="1"/>
    </row>
    <row r="597" spans="1:17" x14ac:dyDescent="0.2">
      <c r="A597" s="1"/>
      <c r="B597" s="5"/>
      <c r="C597" s="2">
        <v>5</v>
      </c>
      <c r="D597" s="4"/>
      <c r="E597" s="21">
        <v>10</v>
      </c>
      <c r="F597" s="3"/>
      <c r="G597" s="21">
        <f t="shared" si="115"/>
        <v>10</v>
      </c>
      <c r="H597" s="3"/>
      <c r="I597" s="21">
        <f t="shared" si="116"/>
        <v>10</v>
      </c>
      <c r="J597" s="3"/>
      <c r="K597" s="21">
        <f t="shared" si="117"/>
        <v>10</v>
      </c>
      <c r="L597" s="3"/>
      <c r="M597" s="22">
        <f t="shared" si="118"/>
        <v>10</v>
      </c>
      <c r="N597" s="1"/>
      <c r="O597" s="1"/>
      <c r="P597" s="1"/>
      <c r="Q597" s="1"/>
    </row>
    <row r="598" spans="1:17" x14ac:dyDescent="0.2">
      <c r="A598" s="1"/>
      <c r="B598" s="5"/>
      <c r="C598" s="2">
        <v>6</v>
      </c>
      <c r="D598" s="4"/>
      <c r="E598" s="21">
        <v>8</v>
      </c>
      <c r="F598" s="3"/>
      <c r="G598" s="21">
        <f t="shared" si="115"/>
        <v>8</v>
      </c>
      <c r="H598" s="3"/>
      <c r="I598" s="21">
        <f t="shared" si="116"/>
        <v>8</v>
      </c>
      <c r="J598" s="3"/>
      <c r="K598" s="21">
        <f t="shared" si="117"/>
        <v>8</v>
      </c>
      <c r="L598" s="3"/>
      <c r="M598" s="22">
        <f t="shared" si="118"/>
        <v>8</v>
      </c>
      <c r="N598" s="1"/>
      <c r="O598" s="1"/>
      <c r="P598" s="1"/>
      <c r="Q598" s="1"/>
    </row>
    <row r="599" spans="1:17" x14ac:dyDescent="0.2">
      <c r="A599" s="1"/>
      <c r="B599" s="5"/>
      <c r="C599" s="2">
        <v>7</v>
      </c>
      <c r="D599" s="4"/>
      <c r="E599" s="21">
        <v>6</v>
      </c>
      <c r="F599" s="3"/>
      <c r="G599" s="21">
        <f t="shared" si="115"/>
        <v>6</v>
      </c>
      <c r="H599" s="3"/>
      <c r="I599" s="21">
        <f t="shared" si="116"/>
        <v>6</v>
      </c>
      <c r="J599" s="3"/>
      <c r="K599" s="21">
        <f t="shared" si="117"/>
        <v>6</v>
      </c>
      <c r="L599" s="3"/>
      <c r="M599" s="22">
        <f t="shared" si="118"/>
        <v>6</v>
      </c>
      <c r="N599" s="1"/>
      <c r="O599" s="1"/>
      <c r="P599" s="1"/>
      <c r="Q599" s="1"/>
    </row>
    <row r="600" spans="1:17" x14ac:dyDescent="0.2">
      <c r="A600" s="1"/>
      <c r="B600" s="5"/>
      <c r="C600" s="2">
        <v>8</v>
      </c>
      <c r="D600" s="4"/>
      <c r="E600" s="21">
        <v>4</v>
      </c>
      <c r="F600" s="3"/>
      <c r="G600" s="21">
        <f t="shared" si="115"/>
        <v>4</v>
      </c>
      <c r="H600" s="3"/>
      <c r="I600" s="21">
        <f t="shared" si="116"/>
        <v>4</v>
      </c>
      <c r="J600" s="3"/>
      <c r="K600" s="21">
        <f t="shared" si="117"/>
        <v>4</v>
      </c>
      <c r="L600" s="4"/>
      <c r="M600" s="22">
        <f t="shared" si="118"/>
        <v>4</v>
      </c>
      <c r="N600" s="1"/>
      <c r="O600" s="1"/>
      <c r="P600" s="1"/>
      <c r="Q600" s="1"/>
    </row>
    <row r="601" spans="1:17" x14ac:dyDescent="0.2">
      <c r="A601" s="1"/>
      <c r="B601" s="5"/>
      <c r="C601" s="2">
        <v>9</v>
      </c>
      <c r="D601" s="4"/>
      <c r="E601" s="21">
        <v>2</v>
      </c>
      <c r="F601" s="3"/>
      <c r="G601" s="21">
        <f t="shared" si="115"/>
        <v>2</v>
      </c>
      <c r="H601" s="3"/>
      <c r="I601" s="21">
        <f t="shared" si="116"/>
        <v>2</v>
      </c>
      <c r="J601" s="3"/>
      <c r="K601" s="21">
        <f t="shared" si="117"/>
        <v>2</v>
      </c>
      <c r="L601" s="3"/>
      <c r="M601" s="22">
        <f t="shared" si="118"/>
        <v>2</v>
      </c>
      <c r="N601" s="1"/>
      <c r="O601" s="1"/>
      <c r="P601" s="1"/>
      <c r="Q601" s="1"/>
    </row>
    <row r="602" spans="1:17" x14ac:dyDescent="0.2">
      <c r="A602" s="1"/>
      <c r="B602" s="5"/>
      <c r="C602" s="2">
        <v>10</v>
      </c>
      <c r="D602" s="4"/>
      <c r="E602" s="21">
        <v>1</v>
      </c>
      <c r="F602" s="3"/>
      <c r="G602" s="21">
        <f t="shared" si="115"/>
        <v>1</v>
      </c>
      <c r="H602" s="3"/>
      <c r="I602" s="21">
        <f t="shared" si="116"/>
        <v>1</v>
      </c>
      <c r="J602" s="3"/>
      <c r="K602" s="21">
        <f t="shared" si="117"/>
        <v>1</v>
      </c>
      <c r="L602" s="6"/>
      <c r="M602" s="22">
        <f t="shared" si="118"/>
        <v>1</v>
      </c>
      <c r="N602" s="1"/>
      <c r="O602" s="1"/>
      <c r="P602" s="1"/>
      <c r="Q602" s="1"/>
    </row>
    <row r="603" spans="1:17" x14ac:dyDescent="0.2">
      <c r="A603" s="1"/>
      <c r="B603" s="19"/>
      <c r="C603" s="2" t="s">
        <v>4</v>
      </c>
      <c r="D603" s="4"/>
      <c r="E603" s="21">
        <v>1</v>
      </c>
      <c r="F603" s="4"/>
      <c r="G603" s="21">
        <f t="shared" si="115"/>
        <v>1</v>
      </c>
      <c r="H603" s="4"/>
      <c r="I603" s="21">
        <f t="shared" si="116"/>
        <v>1</v>
      </c>
      <c r="J603" s="4"/>
      <c r="K603" s="21">
        <f t="shared" si="117"/>
        <v>1</v>
      </c>
      <c r="L603" s="4"/>
      <c r="M603" s="22">
        <f t="shared" si="118"/>
        <v>1</v>
      </c>
      <c r="N603" s="1"/>
      <c r="O603" s="1"/>
      <c r="P603" s="1"/>
      <c r="Q603" s="1"/>
    </row>
    <row r="604" spans="1:17" x14ac:dyDescent="0.2">
      <c r="A604" s="1"/>
      <c r="B604" s="19"/>
      <c r="C604" s="2" t="s">
        <v>19</v>
      </c>
      <c r="D604" s="4"/>
      <c r="E604" s="21">
        <v>10</v>
      </c>
      <c r="F604" s="3"/>
      <c r="G604" s="21">
        <f>IF(F604=$D604,$E604,0)</f>
        <v>10</v>
      </c>
      <c r="H604" s="4"/>
      <c r="I604" s="21">
        <f t="shared" si="116"/>
        <v>10</v>
      </c>
      <c r="J604" s="3"/>
      <c r="K604" s="21">
        <f>IF(J604=$D604,$E604,0)+10</f>
        <v>20</v>
      </c>
      <c r="L604" s="3"/>
      <c r="M604" s="22">
        <f t="shared" si="118"/>
        <v>10</v>
      </c>
      <c r="N604" s="1"/>
      <c r="O604" s="1"/>
      <c r="P604" s="1"/>
      <c r="Q604" s="1"/>
    </row>
    <row r="605" spans="1:17" x14ac:dyDescent="0.2">
      <c r="A605" s="1"/>
      <c r="B605" s="15"/>
      <c r="C605" s="16"/>
      <c r="D605" s="17"/>
      <c r="E605" s="20"/>
      <c r="F605" s="15"/>
      <c r="G605" s="20"/>
      <c r="H605" s="15"/>
      <c r="I605" s="20"/>
      <c r="J605" s="15"/>
      <c r="K605" s="20"/>
      <c r="L605" s="18"/>
      <c r="M605" s="20"/>
      <c r="N605" s="1"/>
      <c r="O605" s="1"/>
      <c r="P605" s="1"/>
      <c r="Q605" s="1"/>
    </row>
    <row r="606" spans="1:17" x14ac:dyDescent="0.2">
      <c r="A606" s="1"/>
      <c r="B606" s="39"/>
      <c r="C606" s="40"/>
      <c r="D606" s="40" t="s">
        <v>16</v>
      </c>
      <c r="E606" s="41"/>
      <c r="F606" s="42"/>
      <c r="G606" s="41">
        <f>SUM(G593:G604)</f>
        <v>112</v>
      </c>
      <c r="H606" s="42"/>
      <c r="I606" s="41">
        <f>SUM(I593:I604)</f>
        <v>112</v>
      </c>
      <c r="J606" s="42"/>
      <c r="K606" s="41">
        <f>SUM(K593:K604)</f>
        <v>122</v>
      </c>
      <c r="L606" s="43"/>
      <c r="M606" s="41">
        <f>SUM(M593:M604)</f>
        <v>112</v>
      </c>
      <c r="N606" s="1"/>
      <c r="O606" s="1"/>
      <c r="P606" s="1"/>
      <c r="Q606" s="1"/>
    </row>
    <row r="607" spans="1:17" x14ac:dyDescent="0.2">
      <c r="A607" s="1"/>
      <c r="B607" s="39"/>
      <c r="C607" s="40"/>
      <c r="D607" s="40" t="s">
        <v>5</v>
      </c>
      <c r="E607" s="41"/>
      <c r="F607" s="42"/>
      <c r="G607" s="41">
        <f>G606+G587</f>
        <v>1563</v>
      </c>
      <c r="H607" s="42"/>
      <c r="I607" s="41">
        <f>I606+I587</f>
        <v>1635</v>
      </c>
      <c r="J607" s="42"/>
      <c r="K607" s="41">
        <f>K606+K587</f>
        <v>1619</v>
      </c>
      <c r="L607" s="43"/>
      <c r="M607" s="41">
        <f>M606+M587</f>
        <v>1641</v>
      </c>
      <c r="N607" s="1"/>
      <c r="O607" s="1"/>
      <c r="P607" s="1"/>
      <c r="Q607" s="1"/>
    </row>
    <row r="608" spans="1:1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">
      <c r="A609" s="1"/>
      <c r="B609" s="1"/>
      <c r="C609" s="1"/>
      <c r="D609" s="1"/>
      <c r="E609" s="1"/>
      <c r="F609" s="1"/>
      <c r="G609" s="1"/>
      <c r="H609" s="1"/>
      <c r="I609" s="23"/>
      <c r="J609" s="1"/>
      <c r="K609" s="1"/>
      <c r="L609" s="1"/>
      <c r="M609" s="1"/>
      <c r="N609" s="1"/>
      <c r="O609" s="1"/>
      <c r="P609" s="1"/>
      <c r="Q609" s="1"/>
    </row>
    <row r="610" spans="1:17" x14ac:dyDescent="0.2">
      <c r="A610" s="1"/>
      <c r="B610" s="1"/>
      <c r="C610" s="1"/>
      <c r="D610" s="1"/>
      <c r="E610" s="1"/>
      <c r="F610" s="1"/>
      <c r="G610" s="1"/>
      <c r="H610" s="1"/>
      <c r="I610" s="23"/>
      <c r="J610" s="1"/>
      <c r="K610" s="1"/>
      <c r="L610" s="1"/>
      <c r="M610" s="1"/>
      <c r="N610" s="1"/>
      <c r="O610" s="1"/>
      <c r="P610" s="1"/>
      <c r="Q610" s="1"/>
    </row>
    <row r="611" spans="1:17" x14ac:dyDescent="0.2">
      <c r="A611" s="1"/>
      <c r="B611" s="1"/>
      <c r="C611" s="1"/>
      <c r="D611" s="1"/>
      <c r="E611" s="1"/>
      <c r="F611" s="1"/>
      <c r="G611" s="1"/>
      <c r="H611" s="1"/>
      <c r="I611" s="23"/>
      <c r="J611" s="1"/>
      <c r="K611" s="1"/>
      <c r="L611" s="1"/>
      <c r="M611" s="1"/>
      <c r="N611" s="1"/>
      <c r="O611" s="1"/>
      <c r="P611" s="1"/>
      <c r="Q611" s="1"/>
    </row>
    <row r="612" spans="1:17" x14ac:dyDescent="0.2">
      <c r="A612" s="1"/>
      <c r="B612" s="1"/>
      <c r="C612" s="1"/>
      <c r="D612" s="1"/>
      <c r="E612" s="1"/>
      <c r="F612" s="1"/>
      <c r="G612" s="1"/>
      <c r="H612" s="1"/>
      <c r="I612" s="23"/>
      <c r="J612" s="1"/>
      <c r="K612" s="1"/>
      <c r="L612" s="1"/>
      <c r="M612" s="1"/>
      <c r="N612" s="1"/>
      <c r="O612" s="1"/>
      <c r="P612" s="1"/>
      <c r="Q612" s="1"/>
    </row>
    <row r="613" spans="1:17" x14ac:dyDescent="0.2">
      <c r="A613" s="1"/>
      <c r="B613" s="1"/>
      <c r="C613" s="1"/>
      <c r="D613" s="1"/>
      <c r="E613" s="1"/>
      <c r="F613" s="1"/>
      <c r="G613" s="1"/>
      <c r="H613" s="1"/>
      <c r="I613" s="23"/>
      <c r="J613" s="1"/>
      <c r="K613" s="1"/>
      <c r="L613" s="1"/>
      <c r="M613" s="1"/>
      <c r="N613" s="1"/>
      <c r="O613" s="1"/>
      <c r="P613" s="1"/>
      <c r="Q613" s="1"/>
    </row>
    <row r="614" spans="1:17" x14ac:dyDescent="0.2">
      <c r="A614" s="1"/>
      <c r="B614" s="1"/>
      <c r="C614" s="1"/>
      <c r="D614" s="1"/>
      <c r="E614" s="1"/>
      <c r="F614" s="1"/>
      <c r="G614" s="1"/>
      <c r="H614" s="1"/>
      <c r="I614" s="23"/>
      <c r="J614" s="1"/>
      <c r="K614" s="1"/>
      <c r="L614" s="1"/>
      <c r="M614" s="1"/>
      <c r="N614" s="1"/>
      <c r="O614" s="1"/>
      <c r="P614" s="1"/>
      <c r="Q614" s="1"/>
    </row>
    <row r="615" spans="1:17" x14ac:dyDescent="0.2">
      <c r="A615" s="1"/>
      <c r="B615" s="1"/>
      <c r="C615" s="1"/>
      <c r="D615" s="1"/>
      <c r="E615" s="1"/>
      <c r="F615" s="1"/>
      <c r="G615" s="1"/>
      <c r="H615" s="1"/>
      <c r="I615" s="23"/>
      <c r="J615" s="1"/>
      <c r="K615" s="1"/>
      <c r="L615" s="1"/>
      <c r="M615" s="1"/>
      <c r="N615" s="1"/>
      <c r="O615" s="1"/>
      <c r="P615" s="1"/>
      <c r="Q615" s="1"/>
    </row>
    <row r="616" spans="1:17" x14ac:dyDescent="0.2">
      <c r="A616" s="1"/>
      <c r="B616" s="1"/>
      <c r="C616" s="1"/>
      <c r="D616" s="1"/>
      <c r="E616" s="1"/>
      <c r="F616" s="1"/>
      <c r="G616" s="1"/>
      <c r="H616" s="1"/>
      <c r="I616" s="23"/>
      <c r="J616" s="1"/>
      <c r="K616" s="1"/>
      <c r="L616" s="1"/>
      <c r="M616" s="1"/>
      <c r="N616" s="1"/>
      <c r="O616" s="1"/>
      <c r="P616" s="1"/>
      <c r="Q616" s="1"/>
    </row>
    <row r="617" spans="1:17" x14ac:dyDescent="0.2">
      <c r="A617" s="1"/>
      <c r="B617" s="1"/>
      <c r="C617" s="1"/>
      <c r="D617" s="1"/>
      <c r="E617" s="1"/>
      <c r="F617" s="1"/>
      <c r="G617" s="1"/>
      <c r="H617" s="1"/>
      <c r="I617" s="23"/>
      <c r="J617" s="1"/>
      <c r="K617" s="1"/>
      <c r="L617" s="1"/>
      <c r="M617" s="1"/>
      <c r="N617" s="1"/>
      <c r="O617" s="1"/>
      <c r="P617" s="1"/>
      <c r="Q617" s="1"/>
    </row>
    <row r="618" spans="1:17" x14ac:dyDescent="0.2">
      <c r="A618" s="1"/>
      <c r="B618" s="1"/>
      <c r="C618" s="1"/>
      <c r="D618" s="1"/>
      <c r="E618" s="1"/>
      <c r="F618" s="1"/>
      <c r="G618" s="1"/>
      <c r="H618" s="1"/>
      <c r="I618" s="23"/>
      <c r="J618" s="1"/>
      <c r="K618" s="1"/>
      <c r="L618" s="1"/>
      <c r="M618" s="1"/>
      <c r="N618" s="1"/>
      <c r="O618" s="1"/>
      <c r="P618" s="1"/>
      <c r="Q618" s="1"/>
    </row>
    <row r="619" spans="1:17" x14ac:dyDescent="0.2">
      <c r="A619" s="1"/>
      <c r="B619" s="1"/>
      <c r="C619" s="1"/>
      <c r="D619" s="1"/>
      <c r="E619" s="1"/>
      <c r="F619" s="1"/>
      <c r="G619" s="1"/>
      <c r="H619" s="1"/>
      <c r="I619" s="23"/>
      <c r="J619" s="1"/>
      <c r="K619" s="1"/>
      <c r="L619" s="1"/>
      <c r="M619" s="1"/>
      <c r="N619" s="1"/>
      <c r="O619" s="1"/>
      <c r="P619" s="1"/>
      <c r="Q619" s="1"/>
    </row>
    <row r="620" spans="1:17" x14ac:dyDescent="0.2">
      <c r="A620" s="1"/>
      <c r="B620" s="1"/>
      <c r="C620" s="1"/>
      <c r="D620" s="1"/>
      <c r="E620" s="1"/>
      <c r="F620" s="1"/>
      <c r="G620" s="1"/>
      <c r="H620" s="1"/>
      <c r="I620" s="23"/>
      <c r="J620" s="1"/>
      <c r="K620" s="1"/>
      <c r="L620" s="1"/>
      <c r="M620" s="1"/>
      <c r="N620" s="1"/>
      <c r="O620" s="1"/>
      <c r="P620" s="1"/>
      <c r="Q620" s="1"/>
    </row>
    <row r="621" spans="1:17" x14ac:dyDescent="0.2">
      <c r="A621" s="1"/>
      <c r="B621" s="1"/>
      <c r="C621" s="1"/>
      <c r="D621" s="1"/>
      <c r="E621" s="1"/>
      <c r="F621" s="1"/>
      <c r="G621" s="1"/>
      <c r="H621" s="1"/>
      <c r="I621" s="23"/>
      <c r="J621" s="1"/>
      <c r="K621" s="1"/>
      <c r="L621" s="1"/>
      <c r="M621" s="1"/>
      <c r="N621" s="1"/>
      <c r="O621" s="1"/>
      <c r="P621" s="1"/>
      <c r="Q621" s="1"/>
    </row>
    <row r="622" spans="1:1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</sheetData>
  <mergeCells count="180">
    <mergeCell ref="B211:D211"/>
    <mergeCell ref="B249:M249"/>
    <mergeCell ref="F250:G250"/>
    <mergeCell ref="H250:I250"/>
    <mergeCell ref="J250:K250"/>
    <mergeCell ref="L250:M250"/>
    <mergeCell ref="B251:D251"/>
    <mergeCell ref="B229:M229"/>
    <mergeCell ref="F230:G230"/>
    <mergeCell ref="H230:I230"/>
    <mergeCell ref="J230:K230"/>
    <mergeCell ref="L230:M230"/>
    <mergeCell ref="B231:D231"/>
    <mergeCell ref="B9:M9"/>
    <mergeCell ref="F10:G10"/>
    <mergeCell ref="H10:I10"/>
    <mergeCell ref="J10:K10"/>
    <mergeCell ref="L10:M10"/>
    <mergeCell ref="B11:D11"/>
    <mergeCell ref="B69:M69"/>
    <mergeCell ref="F70:G70"/>
    <mergeCell ref="H70:I70"/>
    <mergeCell ref="J70:K70"/>
    <mergeCell ref="L70:M70"/>
    <mergeCell ref="B71:D71"/>
    <mergeCell ref="B29:M29"/>
    <mergeCell ref="F30:G30"/>
    <mergeCell ref="H30:I30"/>
    <mergeCell ref="J30:K30"/>
    <mergeCell ref="L30:M30"/>
    <mergeCell ref="B31:D31"/>
    <mergeCell ref="B109:M109"/>
    <mergeCell ref="F110:G110"/>
    <mergeCell ref="H110:I110"/>
    <mergeCell ref="J110:K110"/>
    <mergeCell ref="L110:M110"/>
    <mergeCell ref="B49:M49"/>
    <mergeCell ref="F50:G50"/>
    <mergeCell ref="H50:I50"/>
    <mergeCell ref="J50:K50"/>
    <mergeCell ref="L50:M50"/>
    <mergeCell ref="B51:D51"/>
    <mergeCell ref="B111:D111"/>
    <mergeCell ref="B89:M89"/>
    <mergeCell ref="F90:G90"/>
    <mergeCell ref="H90:I90"/>
    <mergeCell ref="J90:K90"/>
    <mergeCell ref="L90:M90"/>
    <mergeCell ref="B91:D91"/>
    <mergeCell ref="B149:M149"/>
    <mergeCell ref="F150:G150"/>
    <mergeCell ref="H150:I150"/>
    <mergeCell ref="J150:K150"/>
    <mergeCell ref="L150:M150"/>
    <mergeCell ref="B151:D151"/>
    <mergeCell ref="B129:M129"/>
    <mergeCell ref="F130:G130"/>
    <mergeCell ref="H130:I130"/>
    <mergeCell ref="J130:K130"/>
    <mergeCell ref="L130:M130"/>
    <mergeCell ref="B131:D131"/>
    <mergeCell ref="B209:M209"/>
    <mergeCell ref="F210:G210"/>
    <mergeCell ref="H210:I210"/>
    <mergeCell ref="J210:K210"/>
    <mergeCell ref="L210:M210"/>
    <mergeCell ref="B189:M189"/>
    <mergeCell ref="F190:G190"/>
    <mergeCell ref="H190:I190"/>
    <mergeCell ref="J190:K190"/>
    <mergeCell ref="L190:M190"/>
    <mergeCell ref="B191:D191"/>
    <mergeCell ref="B169:M169"/>
    <mergeCell ref="F170:G170"/>
    <mergeCell ref="H170:I170"/>
    <mergeCell ref="J170:K170"/>
    <mergeCell ref="L170:M170"/>
    <mergeCell ref="B171:D171"/>
    <mergeCell ref="B289:M289"/>
    <mergeCell ref="F290:G290"/>
    <mergeCell ref="H290:I290"/>
    <mergeCell ref="J290:K290"/>
    <mergeCell ref="L290:M290"/>
    <mergeCell ref="B291:D291"/>
    <mergeCell ref="B269:M269"/>
    <mergeCell ref="F270:G270"/>
    <mergeCell ref="H270:I270"/>
    <mergeCell ref="J270:K270"/>
    <mergeCell ref="L270:M270"/>
    <mergeCell ref="B271:D271"/>
    <mergeCell ref="B309:M309"/>
    <mergeCell ref="F310:G310"/>
    <mergeCell ref="H310:I310"/>
    <mergeCell ref="J310:K310"/>
    <mergeCell ref="L310:M310"/>
    <mergeCell ref="B311:D311"/>
    <mergeCell ref="B369:M369"/>
    <mergeCell ref="F370:G370"/>
    <mergeCell ref="H370:I370"/>
    <mergeCell ref="J370:K370"/>
    <mergeCell ref="L370:M370"/>
    <mergeCell ref="B351:D351"/>
    <mergeCell ref="B349:M349"/>
    <mergeCell ref="F350:G350"/>
    <mergeCell ref="H350:I350"/>
    <mergeCell ref="J350:K350"/>
    <mergeCell ref="L350:M350"/>
    <mergeCell ref="B371:D371"/>
    <mergeCell ref="B329:M329"/>
    <mergeCell ref="F330:G330"/>
    <mergeCell ref="H330:I330"/>
    <mergeCell ref="J330:K330"/>
    <mergeCell ref="L330:M330"/>
    <mergeCell ref="B331:D331"/>
    <mergeCell ref="B429:M429"/>
    <mergeCell ref="F430:G430"/>
    <mergeCell ref="H430:I430"/>
    <mergeCell ref="J430:K430"/>
    <mergeCell ref="L430:M430"/>
    <mergeCell ref="B409:M409"/>
    <mergeCell ref="F410:G410"/>
    <mergeCell ref="H410:I410"/>
    <mergeCell ref="J410:K410"/>
    <mergeCell ref="L410:M410"/>
    <mergeCell ref="B411:D411"/>
    <mergeCell ref="B471:D471"/>
    <mergeCell ref="B431:D431"/>
    <mergeCell ref="B389:M389"/>
    <mergeCell ref="F390:G390"/>
    <mergeCell ref="H390:I390"/>
    <mergeCell ref="J390:K390"/>
    <mergeCell ref="L390:M390"/>
    <mergeCell ref="B391:D391"/>
    <mergeCell ref="B469:M469"/>
    <mergeCell ref="F470:G470"/>
    <mergeCell ref="H470:I470"/>
    <mergeCell ref="J470:K470"/>
    <mergeCell ref="L470:M470"/>
    <mergeCell ref="B449:M449"/>
    <mergeCell ref="F450:G450"/>
    <mergeCell ref="H450:I450"/>
    <mergeCell ref="J450:K450"/>
    <mergeCell ref="L450:M450"/>
    <mergeCell ref="B451:D451"/>
    <mergeCell ref="B531:D531"/>
    <mergeCell ref="B569:M569"/>
    <mergeCell ref="B589:M589"/>
    <mergeCell ref="F590:G590"/>
    <mergeCell ref="H590:I590"/>
    <mergeCell ref="J590:K590"/>
    <mergeCell ref="L590:M590"/>
    <mergeCell ref="F570:G570"/>
    <mergeCell ref="H570:I570"/>
    <mergeCell ref="J570:K570"/>
    <mergeCell ref="L550:M550"/>
    <mergeCell ref="B551:D551"/>
    <mergeCell ref="B591:D591"/>
    <mergeCell ref="L570:M570"/>
    <mergeCell ref="B489:M489"/>
    <mergeCell ref="F490:G490"/>
    <mergeCell ref="H490:I490"/>
    <mergeCell ref="J490:K490"/>
    <mergeCell ref="L490:M490"/>
    <mergeCell ref="B491:D491"/>
    <mergeCell ref="B509:M509"/>
    <mergeCell ref="F510:G510"/>
    <mergeCell ref="H510:I510"/>
    <mergeCell ref="J510:K510"/>
    <mergeCell ref="L510:M510"/>
    <mergeCell ref="B511:D511"/>
    <mergeCell ref="B571:D571"/>
    <mergeCell ref="B549:M549"/>
    <mergeCell ref="F550:G550"/>
    <mergeCell ref="H550:I550"/>
    <mergeCell ref="J550:K550"/>
    <mergeCell ref="B529:M529"/>
    <mergeCell ref="F530:G530"/>
    <mergeCell ref="H530:I530"/>
    <mergeCell ref="J530:K530"/>
    <mergeCell ref="L530:M530"/>
  </mergeCells>
  <printOptions horizontalCentered="1" verticalCentered="1"/>
  <pageMargins left="0.2" right="0.2" top="0.25" bottom="0.25" header="0.3" footer="0.3"/>
  <pageSetup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62B5-1936-724F-A307-128EEB7BB343}">
  <dimension ref="A1"/>
  <sheetViews>
    <sheetView topLeftCell="A339" zoomScale="75" zoomScaleNormal="75" workbookViewId="0">
      <selection activeCell="G5" sqref="G5:G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2026</vt:lpstr>
      <vt:lpstr>Sheet1</vt:lpstr>
      <vt:lpstr>'2026'!Print_Area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Trujillo</dc:creator>
  <cp:lastModifiedBy>Carlos Trujillo</cp:lastModifiedBy>
  <dcterms:created xsi:type="dcterms:W3CDTF">2023-03-04T21:36:08Z</dcterms:created>
  <dcterms:modified xsi:type="dcterms:W3CDTF">2026-07-26T18:00:24Z</dcterms:modified>
</cp:coreProperties>
</file>